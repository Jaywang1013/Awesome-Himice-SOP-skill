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anz/Desktop/"/>
    </mc:Choice>
  </mc:AlternateContent>
  <xr:revisionPtr revIDLastSave="0" documentId="13_ncr:1_{76972DFD-4D38-FD4F-AF3B-DC9BB0884C64}" xr6:coauthVersionLast="47" xr6:coauthVersionMax="47" xr10:uidLastSave="{00000000-0000-0000-0000-000000000000}"/>
  <bookViews>
    <workbookView xWindow="1560" yWindow="660" windowWidth="27460" windowHeight="16580" tabRatio="879" xr2:uid="{00000000-000D-0000-FFFF-FFFF00000000}"/>
  </bookViews>
  <sheets>
    <sheet name="项目预算表-项目决算表" sheetId="23" r:id="rId1"/>
    <sheet name="预算-用款申请表  " sheetId="39" r:id="rId2"/>
    <sheet name="填写首页" sheetId="35" r:id="rId3"/>
    <sheet name="人员补助表" sheetId="38" r:id="rId4"/>
    <sheet name="结算-项目收支明细表" sheetId="36" r:id="rId5"/>
    <sheet name="项目清算表" sheetId="37" r:id="rId6"/>
  </sheets>
  <definedNames>
    <definedName name="_xlnm._FilterDatabase" localSheetId="4" hidden="1">'结算-项目收支明细表'!$A$20:$L$93</definedName>
    <definedName name="_xlnm._FilterDatabase" localSheetId="1" hidden="1">'预算-用款申请表  '!$B$3:$I$24</definedName>
    <definedName name="_xlnm.Print_Area" localSheetId="4">'结算-项目收支明细表'!$A$1:$L$95</definedName>
    <definedName name="_xlnm.Print_Area" localSheetId="1">'预算-用款申请表  '!$B$1:$H$24</definedName>
    <definedName name="_xlnm.Print_Titles" localSheetId="4">'结算-项目收支明细表'!$14:$14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9" l="1"/>
  <c r="C15" i="39"/>
  <c r="C16" i="39" a="1"/>
  <c r="C13" i="39"/>
  <c r="C14" i="39"/>
  <c r="C8" i="39"/>
  <c r="C11" i="39"/>
  <c r="J77" i="23"/>
  <c r="J61" i="23"/>
  <c r="J60" i="23"/>
  <c r="J59" i="23"/>
  <c r="J58" i="23"/>
  <c r="J57" i="23"/>
  <c r="J56" i="23"/>
  <c r="J55" i="23"/>
  <c r="B62" i="23"/>
  <c r="C62" i="23" s="1"/>
  <c r="F62" i="23" s="1"/>
  <c r="F61" i="23"/>
  <c r="F55" i="23"/>
  <c r="F56" i="23"/>
  <c r="F57" i="23"/>
  <c r="F58" i="23"/>
  <c r="F59" i="23"/>
  <c r="F60" i="23"/>
  <c r="F54" i="23"/>
  <c r="J73" i="23"/>
  <c r="G6" i="38"/>
  <c r="J67" i="23"/>
  <c r="J68" i="23"/>
  <c r="J69" i="23"/>
  <c r="J70" i="23"/>
  <c r="J71" i="23"/>
  <c r="J72" i="23"/>
  <c r="J74" i="23"/>
  <c r="J75" i="23"/>
  <c r="J76" i="23"/>
  <c r="F51" i="23"/>
  <c r="J51" i="23"/>
  <c r="J52" i="23"/>
  <c r="J53" i="23"/>
  <c r="J54" i="23"/>
  <c r="F52" i="23"/>
  <c r="F53" i="23"/>
  <c r="J47" i="23"/>
  <c r="J48" i="23"/>
  <c r="J49" i="23"/>
  <c r="J50" i="23"/>
  <c r="F47" i="23"/>
  <c r="F48" i="23"/>
  <c r="F49" i="23"/>
  <c r="F50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F36" i="23"/>
  <c r="F37" i="23"/>
  <c r="F38" i="23"/>
  <c r="F39" i="23"/>
  <c r="F40" i="23"/>
  <c r="F41" i="23"/>
  <c r="F42" i="23"/>
  <c r="F43" i="23"/>
  <c r="F44" i="23"/>
  <c r="F45" i="23"/>
  <c r="F29" i="23"/>
  <c r="F30" i="23"/>
  <c r="F31" i="23"/>
  <c r="F32" i="23"/>
  <c r="F33" i="23"/>
  <c r="F34" i="23"/>
  <c r="J22" i="23"/>
  <c r="J23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35" i="23"/>
  <c r="F46" i="23"/>
  <c r="F8" i="23"/>
  <c r="J24" i="23"/>
  <c r="J19" i="23"/>
  <c r="J20" i="23"/>
  <c r="J66" i="23"/>
  <c r="J65" i="23"/>
  <c r="J14" i="23"/>
  <c r="J12" i="23"/>
  <c r="J11" i="23"/>
  <c r="J10" i="23"/>
  <c r="J9" i="23"/>
  <c r="J13" i="23"/>
  <c r="K46" i="37"/>
  <c r="J46" i="37"/>
  <c r="I46" i="37"/>
  <c r="H46" i="37"/>
  <c r="G46" i="37"/>
  <c r="F46" i="37"/>
  <c r="E46" i="37"/>
  <c r="D46" i="37"/>
  <c r="K44" i="37"/>
  <c r="J44" i="37"/>
  <c r="I44" i="37"/>
  <c r="H44" i="37"/>
  <c r="G44" i="37"/>
  <c r="F44" i="37"/>
  <c r="K43" i="37"/>
  <c r="J43" i="37"/>
  <c r="I43" i="37"/>
  <c r="H43" i="37"/>
  <c r="G43" i="37"/>
  <c r="F43" i="37"/>
  <c r="K42" i="37"/>
  <c r="J42" i="37"/>
  <c r="I42" i="37"/>
  <c r="H42" i="37"/>
  <c r="G42" i="37"/>
  <c r="F42" i="37"/>
  <c r="K41" i="37"/>
  <c r="J41" i="37"/>
  <c r="I41" i="37"/>
  <c r="F41" i="37"/>
  <c r="K40" i="37"/>
  <c r="J40" i="37"/>
  <c r="I40" i="37"/>
  <c r="F40" i="37"/>
  <c r="K39" i="37"/>
  <c r="J39" i="37"/>
  <c r="I39" i="37"/>
  <c r="F39" i="37"/>
  <c r="K38" i="37"/>
  <c r="J38" i="37"/>
  <c r="I38" i="37"/>
  <c r="H38" i="37"/>
  <c r="G38" i="37"/>
  <c r="F38" i="37"/>
  <c r="K37" i="37"/>
  <c r="J37" i="37"/>
  <c r="I37" i="37"/>
  <c r="H37" i="37"/>
  <c r="G37" i="37"/>
  <c r="F37" i="37"/>
  <c r="K36" i="37"/>
  <c r="J36" i="37"/>
  <c r="I36" i="37"/>
  <c r="H36" i="37"/>
  <c r="G36" i="37"/>
  <c r="F36" i="37"/>
  <c r="K35" i="37"/>
  <c r="J35" i="37"/>
  <c r="I35" i="37"/>
  <c r="H35" i="37"/>
  <c r="G35" i="37"/>
  <c r="F35" i="37"/>
  <c r="K34" i="37"/>
  <c r="J34" i="37"/>
  <c r="I34" i="37"/>
  <c r="H34" i="37"/>
  <c r="G34" i="37"/>
  <c r="F34" i="37"/>
  <c r="K33" i="37"/>
  <c r="J33" i="37"/>
  <c r="I33" i="37"/>
  <c r="H33" i="37"/>
  <c r="G33" i="37"/>
  <c r="F33" i="37"/>
  <c r="K32" i="37"/>
  <c r="J32" i="37"/>
  <c r="I32" i="37"/>
  <c r="H32" i="37"/>
  <c r="G32" i="37"/>
  <c r="F32" i="37"/>
  <c r="K31" i="37"/>
  <c r="J31" i="37"/>
  <c r="I31" i="37"/>
  <c r="H31" i="37"/>
  <c r="G31" i="37"/>
  <c r="F31" i="37"/>
  <c r="K30" i="37"/>
  <c r="J30" i="37"/>
  <c r="I30" i="37"/>
  <c r="H30" i="37"/>
  <c r="G30" i="37"/>
  <c r="F30" i="37"/>
  <c r="K29" i="37"/>
  <c r="J29" i="37"/>
  <c r="I29" i="37"/>
  <c r="H29" i="37"/>
  <c r="G29" i="37"/>
  <c r="F29" i="37"/>
  <c r="K28" i="37"/>
  <c r="J28" i="37"/>
  <c r="I28" i="37"/>
  <c r="H28" i="37"/>
  <c r="G28" i="37"/>
  <c r="F28" i="37"/>
  <c r="K27" i="37"/>
  <c r="J27" i="37"/>
  <c r="I27" i="37"/>
  <c r="H27" i="37"/>
  <c r="G27" i="37"/>
  <c r="F27" i="37"/>
  <c r="K26" i="37"/>
  <c r="J26" i="37"/>
  <c r="I26" i="37"/>
  <c r="H26" i="37"/>
  <c r="G26" i="37"/>
  <c r="F26" i="37"/>
  <c r="I93" i="36"/>
  <c r="I92" i="36"/>
  <c r="I91" i="36"/>
  <c r="I90" i="36"/>
  <c r="I89" i="36"/>
  <c r="I87" i="36"/>
  <c r="I79" i="36"/>
  <c r="I74" i="36"/>
  <c r="I72" i="36"/>
  <c r="I71" i="36"/>
  <c r="I68" i="36"/>
  <c r="I18" i="36"/>
  <c r="L6" i="38"/>
  <c r="K6" i="38"/>
  <c r="J5" i="38"/>
  <c r="C21" i="39"/>
  <c r="C19" i="39"/>
  <c r="J89" i="23"/>
  <c r="R82" i="23"/>
  <c r="R85" i="23" s="1"/>
  <c r="J80" i="23"/>
  <c r="F80" i="23"/>
  <c r="R79" i="23"/>
  <c r="N79" i="23"/>
  <c r="R78" i="23"/>
  <c r="N78" i="23"/>
  <c r="R77" i="23"/>
  <c r="N77" i="23"/>
  <c r="F77" i="23"/>
  <c r="R64" i="23"/>
  <c r="N64" i="23"/>
  <c r="R63" i="23"/>
  <c r="N63" i="23"/>
  <c r="J28" i="23"/>
  <c r="J27" i="23"/>
  <c r="J26" i="23"/>
  <c r="J25" i="23"/>
  <c r="J18" i="23"/>
  <c r="J17" i="23"/>
  <c r="J16" i="23"/>
  <c r="J15" i="23"/>
  <c r="J21" i="23"/>
  <c r="J8" i="23"/>
  <c r="C20" i="39" l="1"/>
  <c r="F63" i="23"/>
  <c r="J6" i="38"/>
  <c r="R80" i="23"/>
  <c r="R86" i="23" s="1"/>
  <c r="J90" i="23" s="1"/>
  <c r="J91" i="23" s="1"/>
  <c r="J64" i="23"/>
  <c r="N80" i="23"/>
  <c r="N81" i="23" s="1"/>
  <c r="N82" i="23" s="1"/>
  <c r="N84" i="23" s="1"/>
  <c r="F64" i="23"/>
  <c r="F84" i="23" l="1"/>
  <c r="F86" i="23" s="1"/>
  <c r="J82" i="23" s="1"/>
  <c r="J85" i="23" s="1"/>
  <c r="J86" i="23" s="1"/>
  <c r="F81" i="23"/>
  <c r="J81" i="23"/>
  <c r="N86" i="23"/>
  <c r="J93" i="23"/>
  <c r="J92" i="23"/>
  <c r="F90" i="23" l="1"/>
  <c r="F89" i="23"/>
  <c r="F91" i="23" l="1"/>
  <c r="F93" i="23" s="1"/>
  <c r="F95" i="23" l="1"/>
  <c r="F92" i="23"/>
  <c r="F94" i="23" s="1"/>
  <c r="C22" i="39"/>
  <c r="C23" i="39" s="1"/>
  <c r="C18" i="3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<sst xmlns="http://schemas.openxmlformats.org/spreadsheetml/2006/main" count="433" uniqueCount="312">
  <si>
    <t>财务预算表</t>
  </si>
  <si>
    <t>财务决算表</t>
  </si>
  <si>
    <r>
      <rPr>
        <sz val="9"/>
        <color rgb="FFFF0000"/>
        <rFont val="宋体"/>
        <family val="3"/>
        <charset val="134"/>
      </rPr>
      <t>*</t>
    </r>
    <r>
      <rPr>
        <sz val="9"/>
        <rFont val="宋体"/>
        <family val="3"/>
        <charset val="134"/>
      </rPr>
      <t>会议名称</t>
    </r>
  </si>
  <si>
    <r>
      <rPr>
        <sz val="9"/>
        <color indexed="10"/>
        <rFont val="宋体"/>
        <family val="3"/>
        <charset val="134"/>
      </rPr>
      <t>*</t>
    </r>
    <r>
      <rPr>
        <sz val="9"/>
        <color theme="1"/>
        <rFont val="宋体"/>
        <family val="3"/>
        <charset val="134"/>
      </rPr>
      <t>项目所属部门</t>
    </r>
  </si>
  <si>
    <t>厦门智海王潮会议展览有限公司</t>
  </si>
  <si>
    <t>*日程安排</t>
  </si>
  <si>
    <r>
      <rPr>
        <sz val="9"/>
        <color rgb="FFFF0000"/>
        <rFont val="宋体"/>
        <family val="3"/>
        <charset val="134"/>
      </rPr>
      <t>*</t>
    </r>
    <r>
      <rPr>
        <sz val="9"/>
        <rFont val="宋体"/>
        <family val="3"/>
        <charset val="134"/>
      </rPr>
      <t>会议 人数</t>
    </r>
  </si>
  <si>
    <t>*合同情况说明：</t>
  </si>
  <si>
    <r>
      <rPr>
        <sz val="9"/>
        <color indexed="10"/>
        <rFont val="宋体"/>
        <family val="3"/>
        <charset val="134"/>
      </rPr>
      <t>*</t>
    </r>
    <r>
      <rPr>
        <sz val="9"/>
        <rFont val="宋体"/>
        <family val="3"/>
        <charset val="134"/>
      </rPr>
      <t>会议负责人</t>
    </r>
  </si>
  <si>
    <t>李蒙</t>
  </si>
  <si>
    <r>
      <rPr>
        <sz val="9"/>
        <color indexed="10"/>
        <rFont val="宋体"/>
        <family val="3"/>
        <charset val="134"/>
      </rPr>
      <t>*</t>
    </r>
    <r>
      <rPr>
        <sz val="9"/>
        <rFont val="宋体"/>
        <family val="3"/>
        <charset val="134"/>
      </rPr>
      <t>会议报账人</t>
    </r>
  </si>
  <si>
    <t>项目摘要</t>
  </si>
  <si>
    <t>预计收入</t>
  </si>
  <si>
    <t>预计成本</t>
  </si>
  <si>
    <t>实际收入</t>
  </si>
  <si>
    <t>实际成本</t>
  </si>
  <si>
    <t>备注</t>
  </si>
  <si>
    <t>板块</t>
  </si>
  <si>
    <t>摘要</t>
  </si>
  <si>
    <t>预计单价</t>
  </si>
  <si>
    <t>预计数量</t>
  </si>
  <si>
    <t>预计次数</t>
  </si>
  <si>
    <t>预计收入单项小计</t>
  </si>
  <si>
    <r>
      <rPr>
        <b/>
        <sz val="9"/>
        <color indexed="8"/>
        <rFont val="宋体"/>
        <family val="3"/>
        <charset val="134"/>
      </rPr>
      <t>预计数量</t>
    </r>
  </si>
  <si>
    <r>
      <rPr>
        <b/>
        <sz val="9"/>
        <color indexed="8"/>
        <rFont val="宋体"/>
        <family val="3"/>
        <charset val="134"/>
      </rPr>
      <t>预计次数</t>
    </r>
  </si>
  <si>
    <r>
      <rPr>
        <b/>
        <sz val="9"/>
        <color indexed="8"/>
        <rFont val="宋体"/>
        <family val="3"/>
        <charset val="134"/>
      </rPr>
      <t>预计成本单项小计</t>
    </r>
  </si>
  <si>
    <t>实际单价</t>
  </si>
  <si>
    <t>实际数量</t>
  </si>
  <si>
    <t>实际次数</t>
  </si>
  <si>
    <t>实际收入单项小计</t>
  </si>
  <si>
    <t>实际成本单项小计</t>
  </si>
  <si>
    <t>代付服务费用5%</t>
  </si>
  <si>
    <t>小计（不含代付服务费&amp;代付费用）</t>
  </si>
  <si>
    <t>小计</t>
  </si>
  <si>
    <t>操作
费用
模版</t>
  </si>
  <si>
    <t>餐饮费</t>
  </si>
  <si>
    <t>交通费</t>
  </si>
  <si>
    <t>招待费</t>
  </si>
  <si>
    <t>其他操作费</t>
  </si>
  <si>
    <t>物料费</t>
  </si>
  <si>
    <t>小费</t>
  </si>
  <si>
    <t>住宿费</t>
  </si>
  <si>
    <t>车辆补助</t>
  </si>
  <si>
    <t>人员补助</t>
  </si>
  <si>
    <t>部门补贴</t>
  </si>
  <si>
    <t>创意部奖金</t>
  </si>
  <si>
    <t>渠道费用</t>
  </si>
  <si>
    <t>签单/酒店</t>
  </si>
  <si>
    <t>景点签单</t>
  </si>
  <si>
    <t>酒店签单</t>
  </si>
  <si>
    <t>税前预算收入合计</t>
  </si>
  <si>
    <t>税前实际收入合计</t>
  </si>
  <si>
    <t>预计服务费</t>
  </si>
  <si>
    <t>预计销项税（客户开票金额*税率）</t>
  </si>
  <si>
    <t>实际服务费</t>
  </si>
  <si>
    <t>实际销项税（客户开票金额*税率）</t>
  </si>
  <si>
    <t>预计税金</t>
  </si>
  <si>
    <t>预计进项税（供应商开票金额*税率）</t>
  </si>
  <si>
    <t>实际税金</t>
  </si>
  <si>
    <t>实际进项税（供应商开票金额*税率）</t>
  </si>
  <si>
    <t>预计税金成本（销项-进项）</t>
  </si>
  <si>
    <t>实际税金成本（销项-进项）</t>
  </si>
  <si>
    <r>
      <rPr>
        <b/>
        <sz val="9"/>
        <color indexed="10"/>
        <rFont val="宋体"/>
        <family val="3"/>
        <charset val="134"/>
      </rPr>
      <t>*此行不可删除</t>
    </r>
    <r>
      <rPr>
        <b/>
        <sz val="9"/>
        <rFont val="宋体"/>
        <family val="3"/>
        <charset val="134"/>
      </rPr>
      <t xml:space="preserve">                             *预计收入总计</t>
    </r>
  </si>
  <si>
    <t>*预计成本总计：</t>
  </si>
  <si>
    <t>*实际收入总计</t>
  </si>
  <si>
    <t>*实际成本总计：</t>
  </si>
  <si>
    <t>实际结算金额</t>
  </si>
  <si>
    <t>部分项目不能收取服务费</t>
  </si>
  <si>
    <t>自动生成</t>
  </si>
  <si>
    <t>报账时：手工填写</t>
  </si>
  <si>
    <t>资金备注：</t>
  </si>
  <si>
    <t>客户已预付款金额</t>
  </si>
  <si>
    <t>客户剩余收款金额</t>
  </si>
  <si>
    <t>客户剩余款项：收款时间说明</t>
  </si>
  <si>
    <t>预计毛利</t>
  </si>
  <si>
    <t>实际毛利</t>
  </si>
  <si>
    <t>发票备注：</t>
  </si>
  <si>
    <t>客户已开发票金额</t>
  </si>
  <si>
    <t>客户未开发票金额</t>
  </si>
  <si>
    <t>预计毛利率</t>
  </si>
  <si>
    <t>实际毛利率</t>
  </si>
  <si>
    <t>客户剩余发票：开票时间说明</t>
  </si>
  <si>
    <t>预计操作费用指标</t>
  </si>
  <si>
    <t>实际操作费用指标</t>
  </si>
  <si>
    <t>操作费用指标注释</t>
  </si>
  <si>
    <t>操作费用指标=（操作费用小计-部门费用）/（操作费用小计-部门费用）+（收入-成本）</t>
  </si>
  <si>
    <t>实际毛利率与预算毛利率与比较</t>
  </si>
  <si>
    <r>
      <rPr>
        <sz val="9"/>
        <color indexed="10"/>
        <rFont val="宋体"/>
        <family val="3"/>
        <charset val="134"/>
      </rPr>
      <t>如果实际比预算毛利比预算下降</t>
    </r>
    <r>
      <rPr>
        <sz val="9"/>
        <color indexed="10"/>
        <rFont val="Arial"/>
        <family val="2"/>
      </rPr>
      <t>3%</t>
    </r>
    <r>
      <rPr>
        <sz val="9"/>
        <color indexed="10"/>
        <rFont val="宋体"/>
        <family val="3"/>
        <charset val="134"/>
      </rPr>
      <t>；请填写毛利下降说明；</t>
    </r>
  </si>
  <si>
    <r>
      <rPr>
        <b/>
        <sz val="9"/>
        <rFont val="宋体"/>
        <family val="3"/>
        <charset val="134"/>
      </rPr>
      <t xml:space="preserve">毛利率下降说明
</t>
    </r>
    <r>
      <rPr>
        <b/>
        <sz val="9"/>
        <color indexed="10"/>
        <rFont val="宋体"/>
        <family val="3"/>
        <charset val="134"/>
      </rPr>
      <t>根据需要可自行调整行高</t>
    </r>
  </si>
  <si>
    <t>成本核对</t>
  </si>
  <si>
    <t>实际操作费用指标与预算操作费用指标比较</t>
  </si>
  <si>
    <r>
      <rPr>
        <sz val="9"/>
        <color indexed="10"/>
        <rFont val="宋体"/>
        <family val="3"/>
        <charset val="134"/>
      </rPr>
      <t>如果实际比预算操作费用指标上升</t>
    </r>
    <r>
      <rPr>
        <sz val="9"/>
        <color indexed="10"/>
        <rFont val="Arial"/>
        <family val="2"/>
      </rPr>
      <t>2%</t>
    </r>
    <r>
      <rPr>
        <sz val="9"/>
        <color indexed="10"/>
        <rFont val="宋体"/>
        <family val="3"/>
        <charset val="134"/>
      </rPr>
      <t>；请填写毛利下降说明；</t>
    </r>
  </si>
  <si>
    <r>
      <rPr>
        <b/>
        <sz val="9"/>
        <rFont val="宋体"/>
        <family val="3"/>
        <charset val="134"/>
      </rPr>
      <t xml:space="preserve">操作费用指标上升说明
</t>
    </r>
    <r>
      <rPr>
        <b/>
        <sz val="9"/>
        <color indexed="10"/>
        <rFont val="宋体"/>
        <family val="3"/>
        <charset val="134"/>
      </rPr>
      <t>根据需要可自行调整行高</t>
    </r>
  </si>
  <si>
    <t>点击返回首页</t>
  </si>
  <si>
    <t>预算用款申请表</t>
  </si>
  <si>
    <t>会议名称</t>
  </si>
  <si>
    <t>供应商
使用时间</t>
  </si>
  <si>
    <t>申请付款内容</t>
  </si>
  <si>
    <t>金额</t>
  </si>
  <si>
    <t>付款方式
点击选择</t>
  </si>
  <si>
    <t>付款时间</t>
  </si>
  <si>
    <t>供应商名称</t>
  </si>
  <si>
    <t>经办人</t>
  </si>
  <si>
    <t>项目成本-设计费用</t>
  </si>
  <si>
    <t>待转帐</t>
  </si>
  <si>
    <t>项目成本-酒店代付</t>
  </si>
  <si>
    <t>项目成本-摄影摄像</t>
  </si>
  <si>
    <t>项目成本-大交通（票务）</t>
  </si>
  <si>
    <t>项目成本-物料制作</t>
  </si>
  <si>
    <t>现金</t>
  </si>
  <si>
    <t>操作费用-餐饮费</t>
  </si>
  <si>
    <t>操作费用-交通费</t>
  </si>
  <si>
    <t>操作费用-物料费</t>
  </si>
  <si>
    <t>操作费用-住宿费</t>
  </si>
  <si>
    <t>项目成本-人补</t>
  </si>
  <si>
    <t>项目成本-税金</t>
  </si>
  <si>
    <t>如果“行”不够使用请从此“行”往上插入行，插入的行即可含有此板块的公式；如有疑问可咨询财务部；打印时可删除此行；</t>
  </si>
  <si>
    <t>已转帐</t>
  </si>
  <si>
    <t>刷卡</t>
  </si>
  <si>
    <t>总计</t>
  </si>
  <si>
    <t>金额和《项目预算表》预计成本金额一致</t>
  </si>
  <si>
    <t>审核人：</t>
  </si>
  <si>
    <t>制表人：</t>
  </si>
  <si>
    <t>团队结算表格</t>
  </si>
  <si>
    <t>财务主表</t>
  </si>
  <si>
    <t>表格使用基本要求</t>
  </si>
  <si>
    <t xml:space="preserve">可自行添加“行”或删除“行”，但“列”框架不变；  </t>
  </si>
  <si>
    <t>表格打印须知</t>
  </si>
  <si>
    <t>在不改变“列”宽的前提下，可直接打印；</t>
  </si>
  <si>
    <t>活动准备阶段-主表1</t>
  </si>
  <si>
    <t>《项目预算表》</t>
  </si>
  <si>
    <t>点击进入填写</t>
  </si>
  <si>
    <t>活动准备阶段-主表2</t>
  </si>
  <si>
    <t>《用款申请表》</t>
  </si>
  <si>
    <t>活动报账阶段-主表1</t>
  </si>
  <si>
    <t>《项目收支明细表》</t>
  </si>
  <si>
    <t>活动报账阶段-主表2</t>
  </si>
  <si>
    <t>《项目结算表》</t>
  </si>
  <si>
    <t>活动报账阶段-主表3</t>
  </si>
  <si>
    <t>《项目清算表》</t>
  </si>
  <si>
    <t>财务附表</t>
  </si>
  <si>
    <t>活动报账阶段-附表</t>
  </si>
  <si>
    <t>《协作人奖金表》</t>
  </si>
  <si>
    <t>《人员补助表》</t>
  </si>
  <si>
    <t>《车辆补贴表》</t>
  </si>
  <si>
    <t>活动报账阶段-附表（针对旅行社活动）</t>
  </si>
  <si>
    <t>《旅游团队名单表》</t>
  </si>
  <si>
    <t>会议人员补助明细表</t>
  </si>
  <si>
    <t>姓名</t>
  </si>
  <si>
    <t>级别</t>
  </si>
  <si>
    <t>部门</t>
  </si>
  <si>
    <t>活动日期</t>
  </si>
  <si>
    <t>工作时间</t>
  </si>
  <si>
    <t>人力成本
（元/天）</t>
  </si>
  <si>
    <t>人员补贴
（元/天）</t>
  </si>
  <si>
    <t>部门补贴
（元/天）</t>
  </si>
  <si>
    <t>天数</t>
  </si>
  <si>
    <t>工作内容</t>
  </si>
  <si>
    <t>人员补贴</t>
  </si>
  <si>
    <t>人力成本</t>
  </si>
  <si>
    <t>项目专员</t>
  </si>
  <si>
    <t>厦门项目二部</t>
  </si>
  <si>
    <t>合计</t>
  </si>
  <si>
    <t>领导审核：</t>
  </si>
  <si>
    <t>人力成本及补贴标准</t>
  </si>
  <si>
    <t>实习生/试用期人员</t>
  </si>
  <si>
    <t>项目专员/项目主任</t>
  </si>
  <si>
    <t>执行副经理</t>
  </si>
  <si>
    <t>执行经理/项目副经理</t>
  </si>
  <si>
    <t>项目经理</t>
  </si>
  <si>
    <t>助理高级经理</t>
  </si>
  <si>
    <t>高级项目经理级以上</t>
  </si>
  <si>
    <t>项目操作收支明细表</t>
  </si>
  <si>
    <t>操作费用</t>
  </si>
  <si>
    <t>√</t>
  </si>
  <si>
    <t>项目成本</t>
  </si>
  <si>
    <t>项目借款</t>
  </si>
  <si>
    <t>备用金</t>
  </si>
  <si>
    <t>部门费用</t>
  </si>
  <si>
    <t>现金收入</t>
  </si>
  <si>
    <t>序号</t>
  </si>
  <si>
    <t>时间</t>
  </si>
  <si>
    <r>
      <rPr>
        <b/>
        <sz val="10"/>
        <rFont val="宋体"/>
        <family val="3"/>
        <charset val="134"/>
      </rPr>
      <t xml:space="preserve">类型
</t>
    </r>
    <r>
      <rPr>
        <b/>
        <sz val="10"/>
        <color indexed="10"/>
        <rFont val="宋体"/>
        <family val="3"/>
        <charset val="134"/>
      </rPr>
      <t>点击选择</t>
    </r>
  </si>
  <si>
    <r>
      <rPr>
        <b/>
        <sz val="10"/>
        <rFont val="宋体"/>
        <family val="3"/>
        <charset val="134"/>
      </rPr>
      <t xml:space="preserve">明细
</t>
    </r>
    <r>
      <rPr>
        <b/>
        <sz val="10"/>
        <color rgb="FFFF0000"/>
        <rFont val="宋体"/>
        <family val="3"/>
        <charset val="134"/>
      </rPr>
      <t>点击选择</t>
    </r>
  </si>
  <si>
    <t>摘    要</t>
  </si>
  <si>
    <t>单价</t>
  </si>
  <si>
    <t>数量</t>
  </si>
  <si>
    <t>次数</t>
  </si>
  <si>
    <t>金 额</t>
  </si>
  <si>
    <r>
      <rPr>
        <b/>
        <sz val="10"/>
        <rFont val="宋体"/>
        <family val="3"/>
        <charset val="134"/>
      </rPr>
      <t xml:space="preserve">发票
</t>
    </r>
    <r>
      <rPr>
        <b/>
        <sz val="10"/>
        <color indexed="10"/>
        <rFont val="宋体"/>
        <family val="3"/>
        <charset val="134"/>
      </rPr>
      <t>点击选择</t>
    </r>
  </si>
  <si>
    <t>备 注</t>
  </si>
  <si>
    <t>经手人</t>
  </si>
  <si>
    <t>小 计</t>
  </si>
  <si>
    <t>现金支出</t>
  </si>
  <si>
    <r>
      <rPr>
        <b/>
        <sz val="10"/>
        <rFont val="宋体"/>
        <family val="3"/>
        <charset val="134"/>
      </rPr>
      <t xml:space="preserve">明细
</t>
    </r>
    <r>
      <rPr>
        <b/>
        <sz val="10"/>
        <color indexed="10"/>
        <rFont val="宋体"/>
        <family val="3"/>
        <charset val="134"/>
      </rPr>
      <t>点击选择</t>
    </r>
  </si>
  <si>
    <t>刷卡支出</t>
  </si>
  <si>
    <t>已转帐款项</t>
  </si>
  <si>
    <t>未付款款项</t>
  </si>
  <si>
    <t>蒋巧俐</t>
  </si>
  <si>
    <t>资金合计</t>
  </si>
  <si>
    <t>未付款</t>
  </si>
  <si>
    <t>报账人签字</t>
  </si>
  <si>
    <t>项目负责人签字</t>
  </si>
  <si>
    <t>审核人签字</t>
  </si>
  <si>
    <t>点击返还首页</t>
  </si>
  <si>
    <t>请填写此颜色的相关内容，其他无需填写，可自动生成；按照单项毛利比率分摊操作费用支出、佣金、发票费用；</t>
  </si>
  <si>
    <t>海南智海王潮会议展览有限公司</t>
  </si>
  <si>
    <t>海南智海王潮会奖旅行社有限公司</t>
  </si>
  <si>
    <t>海南智海王潮会奖旅行社有限公司三亚分公司</t>
  </si>
  <si>
    <t>海口智海王潮文化传播有限公司</t>
  </si>
  <si>
    <t>海南智海方舟公关顾问有限公司</t>
  </si>
  <si>
    <t>海南智海方舟公关顾问有限公司三亚分公司</t>
  </si>
  <si>
    <t>三亚智海王潮会议展览有限公司</t>
  </si>
  <si>
    <t>北京智海王潮会议展览有限公司</t>
  </si>
  <si>
    <t>海南智美飞扬广告传媒有限公司</t>
  </si>
  <si>
    <t>三亚海勃互动商务服务有限公司</t>
  </si>
  <si>
    <t>上海智海王潮会议展览有限公司</t>
  </si>
  <si>
    <t>广州智海王潮会议展览有限公司</t>
  </si>
  <si>
    <t>无（不开发票）</t>
  </si>
  <si>
    <t>项目结算清单</t>
  </si>
  <si>
    <t xml:space="preserve">          项目所属部门：厦门公司</t>
  </si>
  <si>
    <t>财务凭证号</t>
  </si>
  <si>
    <t>财务帐套编号</t>
  </si>
  <si>
    <t>营业报表编号</t>
  </si>
  <si>
    <t>请勿修改表格格式，如有疑问咨询财务人员；*必填项；</t>
  </si>
  <si>
    <t>项目信息</t>
  </si>
  <si>
    <t>*项目名称</t>
  </si>
  <si>
    <t>*开票金额（元）</t>
  </si>
  <si>
    <t>*开始日期</t>
  </si>
  <si>
    <t>*开票单位&lt;点选&gt;</t>
  </si>
  <si>
    <t>*结算金额（元）</t>
  </si>
  <si>
    <t>*结束日期</t>
  </si>
  <si>
    <t>*运作单位&lt;点选&gt;</t>
  </si>
  <si>
    <t>*多开发票（元）</t>
  </si>
  <si>
    <t>*会议天数</t>
  </si>
  <si>
    <t>*客户负责人</t>
  </si>
  <si>
    <t>戴娜茹</t>
  </si>
  <si>
    <t>*预留收入（元）</t>
  </si>
  <si>
    <t>*会议人数</t>
  </si>
  <si>
    <t>*项目负责人</t>
  </si>
  <si>
    <t>*截至报账未付款</t>
  </si>
  <si>
    <t>*报账日期</t>
  </si>
  <si>
    <t>*项目报账人</t>
  </si>
  <si>
    <t>*截至报账未收款</t>
  </si>
  <si>
    <t>项目名称</t>
  </si>
  <si>
    <t>名称</t>
  </si>
  <si>
    <t>收入</t>
  </si>
  <si>
    <t>成本</t>
  </si>
  <si>
    <t>原始毛利</t>
  </si>
  <si>
    <t>分摊成本</t>
  </si>
  <si>
    <t>分摊后毛利</t>
  </si>
  <si>
    <t>原始毛利率</t>
  </si>
  <si>
    <t>分摊后毛利率</t>
  </si>
  <si>
    <t>分摊后毛利指标</t>
  </si>
  <si>
    <t>差旅板块01</t>
  </si>
  <si>
    <t>01</t>
  </si>
  <si>
    <t>会议住宿</t>
  </si>
  <si>
    <t>02</t>
  </si>
  <si>
    <t>会议餐饮</t>
  </si>
  <si>
    <t>03</t>
  </si>
  <si>
    <t>会议室租用</t>
  </si>
  <si>
    <t>04</t>
  </si>
  <si>
    <t>会议接送车</t>
  </si>
  <si>
    <t>05</t>
  </si>
  <si>
    <t>机票</t>
  </si>
  <si>
    <t>06</t>
  </si>
  <si>
    <t>旅游</t>
  </si>
  <si>
    <t>摄影摄像</t>
  </si>
  <si>
    <t>活动版块02</t>
  </si>
  <si>
    <t>演艺演出</t>
  </si>
  <si>
    <t>广告板块</t>
  </si>
  <si>
    <t>搭建板块</t>
  </si>
  <si>
    <t>A V板块</t>
  </si>
  <si>
    <t>LED板块</t>
  </si>
  <si>
    <t>其他杂项03</t>
  </si>
  <si>
    <t>其他杂项</t>
  </si>
  <si>
    <t>其他部分04</t>
  </si>
  <si>
    <t>发票费用</t>
  </si>
  <si>
    <t>税金及服务费</t>
  </si>
  <si>
    <t>合计（自动生成）</t>
  </si>
  <si>
    <t>实际会议情况
（自动生成）</t>
  </si>
  <si>
    <t>会议收入</t>
  </si>
  <si>
    <t>签单/酒店收入</t>
  </si>
  <si>
    <t>会议支出</t>
  </si>
  <si>
    <t>签单/酒店支出</t>
  </si>
  <si>
    <t>毛利</t>
  </si>
  <si>
    <t>毛利率</t>
  </si>
  <si>
    <t>操作费用指标</t>
  </si>
  <si>
    <t>财务备注：</t>
  </si>
  <si>
    <t>* 请填写项目所属部门：厦门公司</t>
  </si>
  <si>
    <t>项目成本-会务执行</t>
    <phoneticPr fontId="19" type="noConversion"/>
  </si>
  <si>
    <t>实习生1位</t>
    <phoneticPr fontId="19" type="noConversion"/>
  </si>
  <si>
    <t>项目成本-搭建</t>
    <phoneticPr fontId="19" type="noConversion"/>
  </si>
  <si>
    <t>制表人：王锦燦</t>
    <phoneticPr fontId="19" type="noConversion"/>
  </si>
  <si>
    <t xml:space="preserve"> 制表日期：2026年8月14日</t>
    <phoneticPr fontId="19" type="noConversion"/>
  </si>
  <si>
    <t>鱼鹰号+活动名称</t>
    <phoneticPr fontId="19" type="noConversion"/>
  </si>
  <si>
    <t>年/月/日</t>
    <phoneticPr fontId="19" type="noConversion"/>
  </si>
  <si>
    <t>人数</t>
    <phoneticPr fontId="19" type="noConversion"/>
  </si>
  <si>
    <t>会议负责人</t>
    <phoneticPr fontId="19" type="noConversion"/>
  </si>
  <si>
    <t>会议报账人</t>
    <phoneticPr fontId="19" type="noConversion"/>
  </si>
  <si>
    <r>
      <t>*</t>
    </r>
    <r>
      <rPr>
        <sz val="9"/>
        <rFont val="宋体"/>
        <family val="3"/>
        <charset val="134"/>
      </rPr>
      <t>公司人员参与执行人数：正式员工 个；试用期员工 个；实习生 个；其他人员 个；共计 个；</t>
    </r>
    <phoneticPr fontId="19" type="noConversion"/>
  </si>
  <si>
    <t>酒店部分</t>
  </si>
  <si>
    <t>酒店餐饮费</t>
    <phoneticPr fontId="19" type="noConversion"/>
  </si>
  <si>
    <t>酒店住宿费</t>
    <phoneticPr fontId="19" type="noConversion"/>
  </si>
  <si>
    <t>会场租赁费</t>
    <phoneticPr fontId="19" type="noConversion"/>
  </si>
  <si>
    <t>茶歇费用</t>
    <phoneticPr fontId="19" type="noConversion"/>
  </si>
  <si>
    <t>平面延展设计</t>
    <phoneticPr fontId="19" type="noConversion"/>
  </si>
  <si>
    <t>主视觉设计、延展画面输出</t>
    <phoneticPr fontId="19" type="noConversion"/>
  </si>
  <si>
    <t>大交通</t>
    <phoneticPr fontId="19" type="noConversion"/>
  </si>
  <si>
    <t>机票费用</t>
    <phoneticPr fontId="19" type="noConversion"/>
  </si>
  <si>
    <t>动车费用</t>
    <phoneticPr fontId="19" type="noConversion"/>
  </si>
  <si>
    <t>鱼鹰号+会议名称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</si>
</sst>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0_ ;[Red]\-#,##0.00\ "/>
    <numFmt numFmtId="177" formatCode="0_);[Red]\(0\)"/>
    <numFmt numFmtId="178" formatCode="m&quot;月&quot;d&quot;日&quot;;@"/>
    <numFmt numFmtId="179" formatCode="0.00_);[Red]\(0.00\)"/>
    <numFmt numFmtId="180" formatCode="&quot;￥&quot;#,##0.00_);[Red]\(&quot;￥&quot;#,##0.00\)"/>
    <numFmt numFmtId="181" formatCode="&quot;￥&quot;#,##0_);[Red]\(&quot;￥&quot;#,##0\)"/>
    <numFmt numFmtId="182" formatCode="\¥#,##0.00;[Red]\¥#,##0.00"/>
    <numFmt numFmtId="183" formatCode="\¥#,##0.00_);[Red]\(\¥#,##0.00\)"/>
    <numFmt numFmtId="184" formatCode="&quot;￥&quot;#,##0.00;[Red]\-&quot;￥&quot;#,##0.00"/>
  </numFmts>
  <fonts count="70">
    <font>
      <sz val="12"/>
      <name val="宋体"/>
      <charset val="134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ajor"/>
    </font>
    <font>
      <b/>
      <sz val="1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color theme="1"/>
      <name val="Arial"/>
      <family val="2"/>
    </font>
    <font>
      <sz val="8"/>
      <name val="宋体"/>
      <family val="3"/>
      <charset val="134"/>
    </font>
    <font>
      <b/>
      <sz val="14"/>
      <color indexed="8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color theme="5" tint="-0.249977111117893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6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rgb="FFFF0000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9"/>
      <name val="宋体"/>
      <family val="3"/>
      <charset val="134"/>
    </font>
    <font>
      <sz val="9"/>
      <color rgb="FFFF0000"/>
      <name val="Arial"/>
      <family val="2"/>
    </font>
    <font>
      <sz val="9"/>
      <color indexed="10"/>
      <name val="宋体"/>
      <family val="3"/>
      <charset val="134"/>
    </font>
    <font>
      <b/>
      <sz val="9"/>
      <color rgb="FFFF0000"/>
      <name val="宋体"/>
      <family val="3"/>
      <charset val="134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宋体"/>
      <family val="3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b/>
      <sz val="9"/>
      <color indexed="10"/>
      <name val="Arial"/>
      <family val="2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9"/>
      <color indexed="10"/>
      <name val="宋体"/>
      <family val="3"/>
      <charset val="134"/>
    </font>
    <font>
      <b/>
      <sz val="9"/>
      <name val="微软雅黑"/>
      <family val="2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9"/>
      <color rgb="FFFF000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2"/>
      <name val="Times New Roman"/>
      <family val="1"/>
    </font>
    <font>
      <sz val="9"/>
      <color indexed="10"/>
      <name val="Arial"/>
      <family val="2"/>
    </font>
    <font>
      <sz val="9"/>
      <color rgb="FF000000"/>
      <name val="Microsoft YaHei"/>
      <family val="2"/>
      <charset val="134"/>
    </font>
    <font>
      <sz val="9"/>
      <color rgb="FFFF0000"/>
      <name val="Microsoft YaHei"/>
      <family val="2"/>
      <charset val="134"/>
    </font>
    <font>
      <sz val="8"/>
      <color rgb="FFFF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/>
    <xf numFmtId="0" fontId="63" fillId="0" borderId="0"/>
    <xf numFmtId="0" fontId="39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65" fillId="0" borderId="0"/>
  </cellStyleXfs>
  <cellXfs count="51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2" fillId="2" borderId="2" xfId="0" applyNumberFormat="1" applyFon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3" xfId="0" applyBorder="1">
      <alignment vertical="center"/>
    </xf>
    <xf numFmtId="10" fontId="3" fillId="0" borderId="3" xfId="1" applyNumberFormat="1" applyFont="1" applyBorder="1" applyAlignment="1">
      <alignment horizontal="center" vertical="center"/>
    </xf>
    <xf numFmtId="10" fontId="3" fillId="0" borderId="4" xfId="1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0" xfId="0" applyNumberFormat="1">
      <alignment vertical="center"/>
    </xf>
    <xf numFmtId="10" fontId="3" fillId="0" borderId="0" xfId="1" applyNumberFormat="1" applyFont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176" fontId="4" fillId="0" borderId="6" xfId="0" applyNumberFormat="1" applyFont="1" applyBorder="1" applyAlignment="1" applyProtection="1">
      <alignment horizontal="center" vertical="center"/>
      <protection locked="0"/>
    </xf>
    <xf numFmtId="176" fontId="5" fillId="0" borderId="5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176" fontId="6" fillId="0" borderId="0" xfId="0" applyNumberFormat="1" applyFont="1" applyAlignment="1" applyProtection="1">
      <alignment horizontal="center" vertical="center"/>
      <protection locked="0"/>
    </xf>
    <xf numFmtId="176" fontId="5" fillId="0" borderId="0" xfId="0" applyNumberFormat="1" applyFont="1" applyAlignment="1" applyProtection="1">
      <alignment horizontal="left" vertical="center"/>
      <protection locked="0"/>
    </xf>
    <xf numFmtId="176" fontId="5" fillId="0" borderId="0" xfId="0" applyNumberFormat="1" applyFont="1" applyAlignment="1" applyProtection="1">
      <alignment horizontal="center" vertical="center"/>
      <protection locked="0"/>
    </xf>
    <xf numFmtId="49" fontId="6" fillId="0" borderId="0" xfId="1" applyNumberFormat="1" applyFont="1" applyBorder="1" applyAlignment="1" applyProtection="1">
      <alignment horizontal="center" vertical="center"/>
      <protection locked="0"/>
    </xf>
    <xf numFmtId="49" fontId="6" fillId="0" borderId="6" xfId="1" applyNumberFormat="1" applyFont="1" applyBorder="1" applyAlignment="1" applyProtection="1">
      <alignment horizontal="center" vertical="center"/>
      <protection locked="0"/>
    </xf>
    <xf numFmtId="176" fontId="5" fillId="0" borderId="11" xfId="0" applyNumberFormat="1" applyFont="1" applyBorder="1" applyAlignment="1" applyProtection="1">
      <alignment horizontal="left" vertical="center"/>
      <protection locked="0" hidden="1"/>
    </xf>
    <xf numFmtId="0" fontId="5" fillId="0" borderId="11" xfId="0" applyFont="1" applyBorder="1" applyAlignment="1" applyProtection="1">
      <alignment horizontal="left" vertical="center"/>
      <protection locked="0" hidden="1"/>
    </xf>
    <xf numFmtId="176" fontId="5" fillId="0" borderId="15" xfId="0" applyNumberFormat="1" applyFont="1" applyBorder="1" applyAlignment="1" applyProtection="1">
      <alignment horizontal="center" vertical="center" wrapText="1"/>
      <protection locked="0" hidden="1"/>
    </xf>
    <xf numFmtId="176" fontId="5" fillId="0" borderId="15" xfId="0" applyNumberFormat="1" applyFont="1" applyBorder="1" applyAlignment="1" applyProtection="1">
      <alignment horizontal="left" vertical="center"/>
      <protection locked="0" hidden="1"/>
    </xf>
    <xf numFmtId="14" fontId="5" fillId="2" borderId="15" xfId="0" applyNumberFormat="1" applyFont="1" applyFill="1" applyBorder="1" applyProtection="1">
      <alignment vertical="center"/>
      <protection locked="0" hidden="1"/>
    </xf>
    <xf numFmtId="0" fontId="5" fillId="0" borderId="15" xfId="0" applyFont="1" applyBorder="1" applyAlignment="1" applyProtection="1">
      <alignment horizontal="left" vertical="center"/>
      <protection locked="0" hidden="1"/>
    </xf>
    <xf numFmtId="177" fontId="5" fillId="2" borderId="15" xfId="0" applyNumberFormat="1" applyFont="1" applyFill="1" applyBorder="1" applyProtection="1">
      <alignment vertical="center"/>
      <protection locked="0" hidden="1"/>
    </xf>
    <xf numFmtId="0" fontId="5" fillId="0" borderId="15" xfId="0" applyFont="1" applyBorder="1" applyProtection="1">
      <alignment vertical="center"/>
      <protection locked="0" hidden="1"/>
    </xf>
    <xf numFmtId="176" fontId="5" fillId="3" borderId="14" xfId="0" applyNumberFormat="1" applyFont="1" applyFill="1" applyBorder="1" applyAlignment="1" applyProtection="1">
      <alignment vertical="center" wrapText="1"/>
      <protection locked="0" hidden="1"/>
    </xf>
    <xf numFmtId="176" fontId="5" fillId="3" borderId="15" xfId="0" applyNumberFormat="1" applyFont="1" applyFill="1" applyBorder="1" applyAlignment="1" applyProtection="1">
      <alignment horizontal="center" vertical="center" wrapText="1"/>
      <protection locked="0" hidden="1"/>
    </xf>
    <xf numFmtId="0" fontId="2" fillId="3" borderId="15" xfId="0" applyFont="1" applyFill="1" applyBorder="1" applyAlignment="1" applyProtection="1">
      <alignment horizontal="center" vertical="center"/>
      <protection locked="0" hidden="1"/>
    </xf>
    <xf numFmtId="10" fontId="2" fillId="3" borderId="15" xfId="1" applyNumberFormat="1" applyFont="1" applyFill="1" applyBorder="1" applyAlignment="1" applyProtection="1">
      <alignment horizontal="center" vertical="center"/>
      <protection locked="0" hidden="1"/>
    </xf>
    <xf numFmtId="10" fontId="2" fillId="3" borderId="19" xfId="1" applyNumberFormat="1" applyFont="1" applyFill="1" applyBorder="1" applyAlignment="1" applyProtection="1">
      <alignment horizontal="center" vertical="center"/>
      <protection locked="0" hidden="1"/>
    </xf>
    <xf numFmtId="49" fontId="5" fillId="0" borderId="15" xfId="0" applyNumberFormat="1" applyFont="1" applyBorder="1" applyAlignment="1" applyProtection="1">
      <alignment horizontal="center" vertical="center" wrapText="1"/>
      <protection locked="0" hidden="1"/>
    </xf>
    <xf numFmtId="176" fontId="8" fillId="0" borderId="15" xfId="0" applyNumberFormat="1" applyFont="1" applyBorder="1" applyAlignment="1" applyProtection="1">
      <alignment horizontal="left" vertical="center" wrapText="1"/>
      <protection locked="0" hidden="1"/>
    </xf>
    <xf numFmtId="176" fontId="8" fillId="2" borderId="15" xfId="0" applyNumberFormat="1" applyFont="1" applyFill="1" applyBorder="1" applyAlignment="1" applyProtection="1">
      <alignment horizontal="right" vertical="center" wrapText="1"/>
      <protection locked="0" hidden="1"/>
    </xf>
    <xf numFmtId="176" fontId="8" fillId="4" borderId="15" xfId="0" applyNumberFormat="1" applyFont="1" applyFill="1" applyBorder="1" applyAlignment="1" applyProtection="1">
      <alignment horizontal="right" vertical="center" wrapText="1"/>
      <protection locked="0" hidden="1"/>
    </xf>
    <xf numFmtId="176" fontId="9" fillId="0" borderId="15" xfId="0" applyNumberFormat="1" applyFont="1" applyBorder="1" applyAlignment="1" applyProtection="1">
      <alignment horizontal="right" vertical="center"/>
      <protection locked="0" hidden="1"/>
    </xf>
    <xf numFmtId="10" fontId="9" fillId="0" borderId="15" xfId="1" applyNumberFormat="1" applyFont="1" applyBorder="1" applyAlignment="1" applyProtection="1">
      <alignment horizontal="right" vertical="center"/>
      <protection locked="0" hidden="1"/>
    </xf>
    <xf numFmtId="10" fontId="9" fillId="0" borderId="19" xfId="1" applyNumberFormat="1" applyFont="1" applyBorder="1" applyAlignment="1" applyProtection="1">
      <alignment horizontal="right" vertical="center"/>
      <protection locked="0" hidden="1"/>
    </xf>
    <xf numFmtId="0" fontId="10" fillId="0" borderId="15" xfId="0" applyFont="1" applyBorder="1">
      <alignment vertical="center"/>
    </xf>
    <xf numFmtId="176" fontId="9" fillId="4" borderId="15" xfId="0" applyNumberFormat="1" applyFont="1" applyFill="1" applyBorder="1" applyAlignment="1" applyProtection="1">
      <alignment horizontal="right" vertical="center"/>
      <protection locked="0" hidden="1"/>
    </xf>
    <xf numFmtId="176" fontId="5" fillId="0" borderId="20" xfId="0" applyNumberFormat="1" applyFont="1" applyBorder="1" applyAlignment="1" applyProtection="1">
      <alignment vertical="center" wrapText="1"/>
      <protection locked="0" hidden="1"/>
    </xf>
    <xf numFmtId="176" fontId="8" fillId="3" borderId="24" xfId="0" applyNumberFormat="1" applyFont="1" applyFill="1" applyBorder="1" applyAlignment="1" applyProtection="1">
      <alignment horizontal="right" vertical="center" wrapText="1"/>
      <protection locked="0" hidden="1"/>
    </xf>
    <xf numFmtId="10" fontId="8" fillId="3" borderId="24" xfId="0" applyNumberFormat="1" applyFont="1" applyFill="1" applyBorder="1" applyAlignment="1" applyProtection="1">
      <alignment horizontal="right" vertical="center" wrapText="1"/>
      <protection locked="0" hidden="1"/>
    </xf>
    <xf numFmtId="10" fontId="10" fillId="3" borderId="24" xfId="1" applyNumberFormat="1" applyFont="1" applyFill="1" applyBorder="1" applyAlignment="1" applyProtection="1">
      <alignment horizontal="right" vertical="center"/>
      <protection locked="0" hidden="1"/>
    </xf>
    <xf numFmtId="10" fontId="9" fillId="3" borderId="25" xfId="1" applyNumberFormat="1" applyFont="1" applyFill="1" applyBorder="1" applyAlignment="1" applyProtection="1">
      <alignment horizontal="right" vertical="center"/>
      <protection locked="0" hidden="1"/>
    </xf>
    <xf numFmtId="0" fontId="5" fillId="5" borderId="11" xfId="0" applyFont="1" applyFill="1" applyBorder="1" applyAlignment="1" applyProtection="1">
      <alignment horizontal="center" vertical="center"/>
      <protection locked="0" hidden="1"/>
    </xf>
    <xf numFmtId="10" fontId="5" fillId="5" borderId="11" xfId="1" applyNumberFormat="1" applyFont="1" applyFill="1" applyBorder="1" applyAlignment="1" applyProtection="1">
      <alignment horizontal="center" vertical="center"/>
      <protection locked="0" hidden="1"/>
    </xf>
    <xf numFmtId="10" fontId="5" fillId="5" borderId="27" xfId="1" applyNumberFormat="1" applyFont="1" applyFill="1" applyBorder="1" applyAlignment="1" applyProtection="1">
      <alignment horizontal="center" vertical="center"/>
      <protection locked="0" hidden="1"/>
    </xf>
    <xf numFmtId="176" fontId="8" fillId="0" borderId="15" xfId="0" applyNumberFormat="1" applyFont="1" applyBorder="1" applyAlignment="1" applyProtection="1">
      <alignment vertical="center" wrapText="1"/>
      <protection locked="0" hidden="1"/>
    </xf>
    <xf numFmtId="176" fontId="11" fillId="0" borderId="15" xfId="0" applyNumberFormat="1" applyFont="1" applyBorder="1">
      <alignment vertical="center"/>
    </xf>
    <xf numFmtId="176" fontId="8" fillId="0" borderId="15" xfId="0" applyNumberFormat="1" applyFont="1" applyBorder="1" applyAlignment="1" applyProtection="1">
      <alignment horizontal="right" vertical="center" wrapText="1"/>
      <protection locked="0" hidden="1"/>
    </xf>
    <xf numFmtId="10" fontId="8" fillId="0" borderId="15" xfId="1" applyNumberFormat="1" applyFont="1" applyBorder="1" applyAlignment="1" applyProtection="1">
      <alignment horizontal="right" vertical="center" wrapText="1"/>
      <protection locked="0" hidden="1"/>
    </xf>
    <xf numFmtId="10" fontId="8" fillId="0" borderId="19" xfId="1" applyNumberFormat="1" applyFont="1" applyBorder="1" applyAlignment="1" applyProtection="1">
      <alignment vertical="center" wrapText="1"/>
      <protection locked="0" hidden="1"/>
    </xf>
    <xf numFmtId="0" fontId="11" fillId="0" borderId="5" xfId="0" applyFont="1" applyBorder="1">
      <alignment vertical="center"/>
    </xf>
    <xf numFmtId="0" fontId="12" fillId="0" borderId="6" xfId="2" applyBorder="1" applyAlignment="1" applyProtection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3" fillId="0" borderId="9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0" fontId="11" fillId="0" borderId="0" xfId="0" applyNumberFormat="1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5" xfId="0" applyFont="1" applyBorder="1">
      <alignment vertical="center"/>
    </xf>
    <xf numFmtId="0" fontId="17" fillId="0" borderId="19" xfId="0" applyFont="1" applyBorder="1">
      <alignment vertical="center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40" fontId="15" fillId="3" borderId="15" xfId="0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178" fontId="11" fillId="0" borderId="15" xfId="0" applyNumberFormat="1" applyFont="1" applyBorder="1" applyAlignment="1">
      <alignment horizontal="center" vertical="center"/>
    </xf>
    <xf numFmtId="58" fontId="11" fillId="0" borderId="15" xfId="0" applyNumberFormat="1" applyFont="1" applyBorder="1" applyAlignment="1">
      <alignment horizontal="center" vertical="center"/>
    </xf>
    <xf numFmtId="39" fontId="11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11" fillId="0" borderId="19" xfId="0" applyFont="1" applyBorder="1" applyAlignment="1">
      <alignment horizontal="center" vertical="center"/>
    </xf>
    <xf numFmtId="40" fontId="11" fillId="0" borderId="15" xfId="0" applyNumberFormat="1" applyFon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11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40" fontId="18" fillId="0" borderId="15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left" vertical="center" wrapText="1"/>
    </xf>
    <xf numFmtId="179" fontId="21" fillId="0" borderId="31" xfId="0" applyNumberFormat="1" applyFont="1" applyBorder="1" applyAlignment="1">
      <alignment horizontal="center" vertical="center"/>
    </xf>
    <xf numFmtId="179" fontId="21" fillId="4" borderId="15" xfId="0" applyNumberFormat="1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2" fontId="20" fillId="4" borderId="15" xfId="0" applyNumberFormat="1" applyFont="1" applyFill="1" applyBorder="1" applyAlignment="1">
      <alignment horizontal="left" vertical="center" wrapText="1"/>
    </xf>
    <xf numFmtId="177" fontId="22" fillId="6" borderId="15" xfId="0" applyNumberFormat="1" applyFont="1" applyFill="1" applyBorder="1" applyAlignment="1">
      <alignment horizontal="center" vertical="center"/>
    </xf>
    <xf numFmtId="178" fontId="19" fillId="4" borderId="15" xfId="0" applyNumberFormat="1" applyFont="1" applyFill="1" applyBorder="1" applyAlignment="1">
      <alignment horizontal="center" vertical="center"/>
    </xf>
    <xf numFmtId="58" fontId="19" fillId="4" borderId="15" xfId="0" applyNumberFormat="1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left" vertical="center"/>
    </xf>
    <xf numFmtId="0" fontId="21" fillId="4" borderId="15" xfId="0" applyFont="1" applyFill="1" applyBorder="1" applyAlignment="1">
      <alignment horizontal="center" vertical="center"/>
    </xf>
    <xf numFmtId="176" fontId="22" fillId="4" borderId="15" xfId="0" applyNumberFormat="1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19" fillId="0" borderId="15" xfId="0" applyFont="1" applyBorder="1" applyAlignment="1">
      <alignment horizontal="center" vertical="center"/>
    </xf>
    <xf numFmtId="178" fontId="23" fillId="0" borderId="15" xfId="0" applyNumberFormat="1" applyFont="1" applyBorder="1" applyAlignment="1">
      <alignment horizontal="center" vertical="center"/>
    </xf>
    <xf numFmtId="58" fontId="23" fillId="0" borderId="15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horizontal="left" vertical="center"/>
    </xf>
    <xf numFmtId="179" fontId="25" fillId="0" borderId="15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6" fontId="25" fillId="0" borderId="16" xfId="0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176" fontId="25" fillId="0" borderId="15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1" fillId="0" borderId="19" xfId="0" applyFont="1" applyBorder="1">
      <alignment vertical="center"/>
    </xf>
    <xf numFmtId="0" fontId="11" fillId="4" borderId="15" xfId="0" applyFont="1" applyFill="1" applyBorder="1" applyAlignment="1">
      <alignment horizontal="center" vertical="center"/>
    </xf>
    <xf numFmtId="0" fontId="11" fillId="0" borderId="14" xfId="5" applyFont="1" applyBorder="1" applyAlignment="1">
      <alignment horizontal="center" vertical="center"/>
    </xf>
    <xf numFmtId="58" fontId="11" fillId="0" borderId="15" xfId="5" applyNumberFormat="1" applyFont="1" applyBorder="1" applyAlignment="1">
      <alignment horizontal="center" vertical="center"/>
    </xf>
    <xf numFmtId="0" fontId="11" fillId="0" borderId="15" xfId="5" applyFont="1" applyBorder="1" applyAlignment="1">
      <alignment horizontal="left" vertical="center"/>
    </xf>
    <xf numFmtId="0" fontId="11" fillId="0" borderId="15" xfId="5" applyFont="1" applyBorder="1" applyAlignment="1">
      <alignment horizontal="center" vertical="center"/>
    </xf>
    <xf numFmtId="0" fontId="11" fillId="0" borderId="19" xfId="5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58" fontId="15" fillId="0" borderId="15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right" vertical="center"/>
    </xf>
    <xf numFmtId="178" fontId="11" fillId="4" borderId="15" xfId="0" applyNumberFormat="1" applyFont="1" applyFill="1" applyBorder="1" applyAlignment="1">
      <alignment horizontal="center" vertical="center"/>
    </xf>
    <xf numFmtId="58" fontId="11" fillId="4" borderId="15" xfId="0" applyNumberFormat="1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179" fontId="21" fillId="0" borderId="15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7" fontId="22" fillId="4" borderId="15" xfId="0" applyNumberFormat="1" applyFont="1" applyFill="1" applyBorder="1" applyAlignment="1">
      <alignment horizontal="center" vertical="center"/>
    </xf>
    <xf numFmtId="40" fontId="15" fillId="0" borderId="15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1" fillId="0" borderId="24" xfId="0" applyFont="1" applyBorder="1" applyAlignment="1">
      <alignment horizontal="center" vertical="center"/>
    </xf>
    <xf numFmtId="40" fontId="18" fillId="0" borderId="24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40" fontId="11" fillId="0" borderId="8" xfId="0" applyNumberFormat="1" applyFont="1" applyBorder="1" applyAlignment="1">
      <alignment horizontal="center" vertical="center"/>
    </xf>
    <xf numFmtId="0" fontId="12" fillId="0" borderId="8" xfId="2" applyBorder="1" applyAlignment="1" applyProtection="1">
      <alignment horizontal="right" vertical="center"/>
    </xf>
    <xf numFmtId="0" fontId="11" fillId="0" borderId="9" xfId="0" applyFont="1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180" fontId="11" fillId="0" borderId="0" xfId="0" applyNumberFormat="1" applyFont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31" fillId="4" borderId="15" xfId="0" applyFont="1" applyFill="1" applyBorder="1" applyAlignment="1">
      <alignment horizontal="center" vertical="center"/>
    </xf>
    <xf numFmtId="14" fontId="8" fillId="4" borderId="15" xfId="0" applyNumberFormat="1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horizontal="center" vertical="center"/>
    </xf>
    <xf numFmtId="0" fontId="31" fillId="4" borderId="16" xfId="0" applyFont="1" applyFill="1" applyBorder="1" applyAlignment="1">
      <alignment horizontal="center" vertical="center"/>
    </xf>
    <xf numFmtId="0" fontId="31" fillId="0" borderId="15" xfId="0" applyFont="1" applyBorder="1">
      <alignment vertical="center"/>
    </xf>
    <xf numFmtId="0" fontId="32" fillId="4" borderId="0" xfId="0" applyFont="1" applyFill="1">
      <alignment vertical="center"/>
    </xf>
    <xf numFmtId="0" fontId="32" fillId="4" borderId="0" xfId="0" applyFont="1" applyFill="1" applyAlignment="1">
      <alignment horizontal="right"/>
    </xf>
    <xf numFmtId="0" fontId="32" fillId="0" borderId="0" xfId="0" applyFont="1">
      <alignment vertical="center"/>
    </xf>
    <xf numFmtId="0" fontId="32" fillId="4" borderId="0" xfId="0" applyFont="1" applyFill="1" applyAlignment="1"/>
    <xf numFmtId="0" fontId="12" fillId="0" borderId="0" xfId="2" applyAlignment="1" applyProtection="1">
      <alignment horizontal="center" vertical="center"/>
    </xf>
    <xf numFmtId="0" fontId="33" fillId="4" borderId="0" xfId="0" applyFont="1" applyFill="1" applyAlignment="1">
      <alignment horizontal="center"/>
    </xf>
    <xf numFmtId="0" fontId="5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6" fillId="0" borderId="14" xfId="0" applyFont="1" applyBorder="1" applyAlignment="1">
      <alignment horizontal="left" vertical="center"/>
    </xf>
    <xf numFmtId="0" fontId="37" fillId="0" borderId="14" xfId="0" applyFont="1" applyBorder="1" applyAlignment="1">
      <alignment horizontal="left" vertical="center"/>
    </xf>
    <xf numFmtId="0" fontId="37" fillId="0" borderId="15" xfId="0" applyFont="1" applyBorder="1" applyAlignment="1">
      <alignment horizontal="left" vertical="center"/>
    </xf>
    <xf numFmtId="0" fontId="38" fillId="0" borderId="19" xfId="2" applyFont="1" applyFill="1" applyBorder="1" applyAlignment="1" applyProtection="1">
      <alignment horizontal="center" vertical="center"/>
    </xf>
    <xf numFmtId="0" fontId="37" fillId="0" borderId="23" xfId="0" applyFont="1" applyBorder="1" applyAlignment="1">
      <alignment horizontal="left" vertical="center"/>
    </xf>
    <xf numFmtId="0" fontId="37" fillId="0" borderId="24" xfId="0" applyFont="1" applyBorder="1" applyAlignment="1">
      <alignment horizontal="left" vertical="center"/>
    </xf>
    <xf numFmtId="0" fontId="38" fillId="0" borderId="25" xfId="2" applyFont="1" applyFill="1" applyBorder="1" applyAlignment="1" applyProtection="1">
      <alignment horizontal="center" vertical="center"/>
    </xf>
    <xf numFmtId="0" fontId="37" fillId="0" borderId="0" xfId="13" applyFont="1" applyAlignment="1">
      <alignment horizontal="center" vertical="center"/>
    </xf>
    <xf numFmtId="14" fontId="39" fillId="0" borderId="0" xfId="13" applyNumberFormat="1" applyAlignment="1">
      <alignment horizontal="center" vertical="center"/>
    </xf>
    <xf numFmtId="0" fontId="39" fillId="0" borderId="0" xfId="13" applyAlignment="1">
      <alignment horizontal="center" vertical="center"/>
    </xf>
    <xf numFmtId="40" fontId="39" fillId="0" borderId="0" xfId="13" applyNumberFormat="1" applyAlignment="1">
      <alignment horizontal="right" vertical="center"/>
    </xf>
    <xf numFmtId="0" fontId="39" fillId="0" borderId="0" xfId="13" applyAlignment="1">
      <alignment horizontal="center" vertical="center" wrapText="1"/>
    </xf>
    <xf numFmtId="0" fontId="39" fillId="0" borderId="37" xfId="13" applyBorder="1" applyAlignment="1">
      <alignment horizontal="center" vertical="center"/>
    </xf>
    <xf numFmtId="14" fontId="41" fillId="0" borderId="10" xfId="13" applyNumberFormat="1" applyFont="1" applyBorder="1">
      <alignment vertical="center"/>
    </xf>
    <xf numFmtId="14" fontId="34" fillId="3" borderId="14" xfId="13" applyNumberFormat="1" applyFont="1" applyFill="1" applyBorder="1" applyAlignment="1">
      <alignment horizontal="center" vertical="center" wrapText="1"/>
    </xf>
    <xf numFmtId="0" fontId="34" fillId="3" borderId="15" xfId="13" applyFont="1" applyFill="1" applyBorder="1" applyAlignment="1">
      <alignment horizontal="center" vertical="center"/>
    </xf>
    <xf numFmtId="40" fontId="34" fillId="3" borderId="15" xfId="13" applyNumberFormat="1" applyFont="1" applyFill="1" applyBorder="1" applyAlignment="1">
      <alignment horizontal="center" vertical="center"/>
    </xf>
    <xf numFmtId="0" fontId="34" fillId="3" borderId="15" xfId="13" applyFont="1" applyFill="1" applyBorder="1" applyAlignment="1">
      <alignment horizontal="center" vertical="center" wrapText="1"/>
    </xf>
    <xf numFmtId="0" fontId="34" fillId="3" borderId="19" xfId="13" applyFont="1" applyFill="1" applyBorder="1" applyAlignment="1">
      <alignment horizontal="center" vertical="center"/>
    </xf>
    <xf numFmtId="14" fontId="20" fillId="4" borderId="14" xfId="13" applyNumberFormat="1" applyFont="1" applyFill="1" applyBorder="1" applyAlignment="1">
      <alignment horizontal="center" vertical="center"/>
    </xf>
    <xf numFmtId="0" fontId="24" fillId="4" borderId="15" xfId="13" applyFont="1" applyFill="1" applyBorder="1" applyAlignment="1">
      <alignment horizontal="center" vertical="center"/>
    </xf>
    <xf numFmtId="40" fontId="24" fillId="4" borderId="15" xfId="13" applyNumberFormat="1" applyFont="1" applyFill="1" applyBorder="1" applyAlignment="1">
      <alignment horizontal="right" vertical="center"/>
    </xf>
    <xf numFmtId="0" fontId="19" fillId="4" borderId="15" xfId="13" applyFont="1" applyFill="1" applyBorder="1" applyAlignment="1">
      <alignment horizontal="center" vertical="center"/>
    </xf>
    <xf numFmtId="0" fontId="19" fillId="4" borderId="15" xfId="13" applyFont="1" applyFill="1" applyBorder="1" applyAlignment="1">
      <alignment horizontal="center" vertical="center" wrapText="1"/>
    </xf>
    <xf numFmtId="0" fontId="19" fillId="4" borderId="19" xfId="13" applyFont="1" applyFill="1" applyBorder="1" applyAlignment="1">
      <alignment horizontal="center" vertical="center"/>
    </xf>
    <xf numFmtId="0" fontId="42" fillId="4" borderId="15" xfId="13" applyFont="1" applyFill="1" applyBorder="1" applyAlignment="1">
      <alignment horizontal="center" vertical="center" wrapText="1"/>
    </xf>
    <xf numFmtId="0" fontId="19" fillId="0" borderId="15" xfId="13" applyFont="1" applyBorder="1" applyAlignment="1">
      <alignment horizontal="center" vertical="center"/>
    </xf>
    <xf numFmtId="0" fontId="19" fillId="0" borderId="15" xfId="13" applyFont="1" applyBorder="1" applyAlignment="1">
      <alignment horizontal="center" vertical="center" wrapText="1"/>
    </xf>
    <xf numFmtId="0" fontId="11" fillId="4" borderId="15" xfId="13" applyFont="1" applyFill="1" applyBorder="1">
      <alignment vertical="center"/>
    </xf>
    <xf numFmtId="40" fontId="37" fillId="4" borderId="15" xfId="13" applyNumberFormat="1" applyFont="1" applyFill="1" applyBorder="1" applyAlignment="1">
      <alignment horizontal="right" vertical="center"/>
    </xf>
    <xf numFmtId="0" fontId="37" fillId="4" borderId="15" xfId="13" applyFont="1" applyFill="1" applyBorder="1" applyAlignment="1">
      <alignment horizontal="center" vertical="center"/>
    </xf>
    <xf numFmtId="0" fontId="37" fillId="0" borderId="15" xfId="13" applyFont="1" applyBorder="1" applyAlignment="1">
      <alignment horizontal="center" vertical="center"/>
    </xf>
    <xf numFmtId="0" fontId="37" fillId="0" borderId="15" xfId="13" applyFont="1" applyBorder="1" applyAlignment="1">
      <alignment horizontal="center" vertical="center" wrapText="1"/>
    </xf>
    <xf numFmtId="0" fontId="37" fillId="0" borderId="19" xfId="13" applyFont="1" applyBorder="1" applyAlignment="1">
      <alignment horizontal="center" vertical="center"/>
    </xf>
    <xf numFmtId="0" fontId="34" fillId="4" borderId="15" xfId="13" applyFont="1" applyFill="1" applyBorder="1" applyAlignment="1">
      <alignment horizontal="center" vertical="center"/>
    </xf>
    <xf numFmtId="40" fontId="34" fillId="4" borderId="15" xfId="13" applyNumberFormat="1" applyFont="1" applyFill="1" applyBorder="1" applyAlignment="1">
      <alignment horizontal="right" vertical="center"/>
    </xf>
    <xf numFmtId="0" fontId="37" fillId="4" borderId="15" xfId="13" applyFont="1" applyFill="1" applyBorder="1">
      <alignment vertical="center"/>
    </xf>
    <xf numFmtId="0" fontId="34" fillId="0" borderId="15" xfId="13" applyFont="1" applyBorder="1" applyAlignment="1">
      <alignment horizontal="center" vertical="center"/>
    </xf>
    <xf numFmtId="40" fontId="43" fillId="0" borderId="15" xfId="13" applyNumberFormat="1" applyFont="1" applyBorder="1" applyAlignment="1">
      <alignment horizontal="right" vertical="center"/>
    </xf>
    <xf numFmtId="0" fontId="34" fillId="0" borderId="24" xfId="13" applyFont="1" applyBorder="1" applyAlignment="1">
      <alignment horizontal="center" vertical="center"/>
    </xf>
    <xf numFmtId="0" fontId="34" fillId="0" borderId="24" xfId="13" applyFont="1" applyBorder="1">
      <alignment vertical="center"/>
    </xf>
    <xf numFmtId="14" fontId="37" fillId="0" borderId="0" xfId="13" applyNumberFormat="1" applyFont="1" applyAlignment="1">
      <alignment horizontal="center" vertical="center"/>
    </xf>
    <xf numFmtId="0" fontId="19" fillId="0" borderId="0" xfId="17" applyFont="1"/>
    <xf numFmtId="177" fontId="45" fillId="0" borderId="0" xfId="17" applyNumberFormat="1" applyFont="1" applyAlignment="1">
      <alignment horizontal="center" vertical="center"/>
    </xf>
    <xf numFmtId="0" fontId="45" fillId="0" borderId="0" xfId="17" applyFont="1" applyAlignment="1">
      <alignment horizontal="center"/>
    </xf>
    <xf numFmtId="0" fontId="20" fillId="4" borderId="0" xfId="0" applyFont="1" applyFill="1">
      <alignment vertical="center"/>
    </xf>
    <xf numFmtId="0" fontId="21" fillId="4" borderId="0" xfId="17" applyFont="1" applyFill="1"/>
    <xf numFmtId="0" fontId="46" fillId="0" borderId="0" xfId="17" applyFont="1"/>
    <xf numFmtId="0" fontId="46" fillId="4" borderId="0" xfId="17" applyFont="1" applyFill="1"/>
    <xf numFmtId="0" fontId="21" fillId="0" borderId="0" xfId="17" applyFont="1" applyAlignment="1">
      <alignment horizontal="center" vertical="center" wrapText="1"/>
    </xf>
    <xf numFmtId="0" fontId="19" fillId="0" borderId="0" xfId="17" applyFont="1" applyAlignment="1">
      <alignment horizontal="left" wrapText="1"/>
    </xf>
    <xf numFmtId="177" fontId="21" fillId="0" borderId="0" xfId="17" applyNumberFormat="1" applyFont="1" applyAlignment="1">
      <alignment horizontal="center"/>
    </xf>
    <xf numFmtId="181" fontId="21" fillId="0" borderId="0" xfId="17" applyNumberFormat="1" applyFont="1" applyAlignment="1">
      <alignment horizontal="center"/>
    </xf>
    <xf numFmtId="179" fontId="22" fillId="0" borderId="0" xfId="17" applyNumberFormat="1" applyFont="1" applyAlignment="1">
      <alignment horizontal="center"/>
    </xf>
    <xf numFmtId="177" fontId="22" fillId="0" borderId="0" xfId="17" applyNumberFormat="1" applyFont="1" applyAlignment="1">
      <alignment horizontal="center"/>
    </xf>
    <xf numFmtId="181" fontId="22" fillId="0" borderId="0" xfId="17" applyNumberFormat="1" applyFont="1" applyAlignment="1">
      <alignment horizontal="center"/>
    </xf>
    <xf numFmtId="0" fontId="21" fillId="0" borderId="0" xfId="17" applyFont="1"/>
    <xf numFmtId="0" fontId="21" fillId="0" borderId="0" xfId="17" applyFont="1" applyAlignment="1">
      <alignment horizontal="right"/>
    </xf>
    <xf numFmtId="0" fontId="19" fillId="0" borderId="17" xfId="17" applyFont="1" applyBorder="1" applyAlignment="1">
      <alignment horizontal="center" vertical="center"/>
    </xf>
    <xf numFmtId="0" fontId="19" fillId="0" borderId="34" xfId="17" applyFont="1" applyBorder="1" applyAlignment="1">
      <alignment horizontal="center" vertical="center"/>
    </xf>
    <xf numFmtId="177" fontId="47" fillId="0" borderId="15" xfId="17" applyNumberFormat="1" applyFont="1" applyBorder="1" applyAlignment="1">
      <alignment horizontal="center" vertical="center"/>
    </xf>
    <xf numFmtId="177" fontId="42" fillId="0" borderId="15" xfId="17" applyNumberFormat="1" applyFont="1" applyBorder="1" applyAlignment="1">
      <alignment horizontal="center" vertical="center"/>
    </xf>
    <xf numFmtId="0" fontId="48" fillId="0" borderId="15" xfId="17" applyFont="1" applyBorder="1" applyAlignment="1">
      <alignment horizontal="left"/>
    </xf>
    <xf numFmtId="0" fontId="48" fillId="0" borderId="15" xfId="17" applyFont="1" applyBorder="1" applyAlignment="1">
      <alignment horizontal="right"/>
    </xf>
    <xf numFmtId="0" fontId="48" fillId="0" borderId="19" xfId="17" applyFont="1" applyBorder="1" applyAlignment="1">
      <alignment horizontal="left"/>
    </xf>
    <xf numFmtId="177" fontId="19" fillId="0" borderId="15" xfId="17" applyNumberFormat="1" applyFont="1" applyBorder="1" applyAlignment="1">
      <alignment horizontal="center" vertical="center"/>
    </xf>
    <xf numFmtId="58" fontId="19" fillId="0" borderId="17" xfId="17" applyNumberFormat="1" applyFont="1" applyBorder="1" applyAlignment="1">
      <alignment horizontal="left" vertical="center" wrapText="1"/>
    </xf>
    <xf numFmtId="177" fontId="45" fillId="0" borderId="15" xfId="17" applyNumberFormat="1" applyFont="1" applyBorder="1" applyAlignment="1">
      <alignment horizontal="center" vertical="center"/>
    </xf>
    <xf numFmtId="0" fontId="45" fillId="3" borderId="14" xfId="0" applyFont="1" applyFill="1" applyBorder="1" applyAlignment="1">
      <alignment horizontal="center" vertical="center"/>
    </xf>
    <xf numFmtId="0" fontId="45" fillId="3" borderId="15" xfId="0" applyFont="1" applyFill="1" applyBorder="1" applyAlignment="1">
      <alignment horizontal="center" vertical="center" wrapText="1"/>
    </xf>
    <xf numFmtId="177" fontId="45" fillId="3" borderId="15" xfId="0" applyNumberFormat="1" applyFont="1" applyFill="1" applyBorder="1" applyAlignment="1">
      <alignment horizontal="center" vertical="center"/>
    </xf>
    <xf numFmtId="0" fontId="45" fillId="3" borderId="15" xfId="0" applyFont="1" applyFill="1" applyBorder="1" applyAlignment="1">
      <alignment horizontal="center" vertical="center"/>
    </xf>
    <xf numFmtId="176" fontId="45" fillId="3" borderId="15" xfId="0" applyNumberFormat="1" applyFont="1" applyFill="1" applyBorder="1" applyAlignment="1">
      <alignment horizontal="center" vertical="center"/>
    </xf>
    <xf numFmtId="179" fontId="50" fillId="3" borderId="15" xfId="0" applyNumberFormat="1" applyFont="1" applyFill="1" applyBorder="1" applyAlignment="1">
      <alignment horizontal="center" vertical="center"/>
    </xf>
    <xf numFmtId="177" fontId="50" fillId="3" borderId="15" xfId="0" applyNumberFormat="1" applyFont="1" applyFill="1" applyBorder="1" applyAlignment="1">
      <alignment horizontal="center" vertical="center"/>
    </xf>
    <xf numFmtId="176" fontId="50" fillId="3" borderId="16" xfId="0" applyNumberFormat="1" applyFont="1" applyFill="1" applyBorder="1" applyAlignment="1">
      <alignment horizontal="center" vertical="center"/>
    </xf>
    <xf numFmtId="181" fontId="45" fillId="3" borderId="15" xfId="0" applyNumberFormat="1" applyFont="1" applyFill="1" applyBorder="1" applyAlignment="1">
      <alignment horizontal="center" vertical="center"/>
    </xf>
    <xf numFmtId="177" fontId="51" fillId="3" borderId="15" xfId="0" applyNumberFormat="1" applyFont="1" applyFill="1" applyBorder="1" applyAlignment="1">
      <alignment horizontal="center" vertical="center"/>
    </xf>
    <xf numFmtId="176" fontId="51" fillId="3" borderId="15" xfId="0" applyNumberFormat="1" applyFont="1" applyFill="1" applyBorder="1" applyAlignment="1">
      <alignment horizontal="right" vertical="center"/>
    </xf>
    <xf numFmtId="181" fontId="50" fillId="3" borderId="15" xfId="0" applyNumberFormat="1" applyFont="1" applyFill="1" applyBorder="1" applyAlignment="1">
      <alignment horizontal="center" vertical="center"/>
    </xf>
    <xf numFmtId="0" fontId="52" fillId="0" borderId="15" xfId="17" applyFont="1" applyBorder="1" applyAlignment="1">
      <alignment horizontal="center" vertical="center"/>
    </xf>
    <xf numFmtId="0" fontId="53" fillId="0" borderId="15" xfId="17" applyFont="1" applyBorder="1" applyAlignment="1">
      <alignment horizontal="left" vertical="center"/>
    </xf>
    <xf numFmtId="182" fontId="53" fillId="0" borderId="15" xfId="0" applyNumberFormat="1" applyFont="1" applyBorder="1" applyAlignment="1">
      <alignment horizontal="center" vertical="center" wrapText="1"/>
    </xf>
    <xf numFmtId="0" fontId="53" fillId="0" borderId="15" xfId="17" applyFont="1" applyBorder="1" applyAlignment="1">
      <alignment horizontal="center" vertical="center"/>
    </xf>
    <xf numFmtId="0" fontId="20" fillId="0" borderId="15" xfId="0" applyFont="1" applyBorder="1">
      <alignment vertical="center"/>
    </xf>
    <xf numFmtId="0" fontId="20" fillId="0" borderId="34" xfId="0" applyFont="1" applyBorder="1">
      <alignment vertical="center"/>
    </xf>
    <xf numFmtId="0" fontId="20" fillId="0" borderId="40" xfId="0" applyFont="1" applyBorder="1">
      <alignment vertical="center"/>
    </xf>
    <xf numFmtId="182" fontId="53" fillId="0" borderId="31" xfId="0" applyNumberFormat="1" applyFont="1" applyBorder="1" applyAlignment="1">
      <alignment horizontal="center" vertical="center" wrapText="1"/>
    </xf>
    <xf numFmtId="181" fontId="54" fillId="0" borderId="35" xfId="0" applyNumberFormat="1" applyFont="1" applyBorder="1" applyAlignment="1">
      <alignment horizontal="right" vertical="center"/>
    </xf>
    <xf numFmtId="181" fontId="54" fillId="0" borderId="36" xfId="0" applyNumberFormat="1" applyFont="1" applyBorder="1" applyAlignment="1">
      <alignment horizontal="right" vertical="center"/>
    </xf>
    <xf numFmtId="0" fontId="55" fillId="0" borderId="15" xfId="5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182" fontId="53" fillId="8" borderId="15" xfId="0" applyNumberFormat="1" applyFont="1" applyFill="1" applyBorder="1" applyAlignment="1">
      <alignment horizontal="center" vertical="center" wrapText="1"/>
    </xf>
    <xf numFmtId="179" fontId="49" fillId="0" borderId="15" xfId="0" applyNumberFormat="1" applyFont="1" applyBorder="1" applyAlignment="1">
      <alignment horizontal="center" vertical="center"/>
    </xf>
    <xf numFmtId="177" fontId="49" fillId="0" borderId="15" xfId="0" applyNumberFormat="1" applyFont="1" applyBorder="1" applyAlignment="1">
      <alignment horizontal="center" vertical="center"/>
    </xf>
    <xf numFmtId="176" fontId="54" fillId="0" borderId="15" xfId="0" applyNumberFormat="1" applyFont="1" applyBorder="1">
      <alignment vertical="center"/>
    </xf>
    <xf numFmtId="176" fontId="54" fillId="0" borderId="15" xfId="0" applyNumberFormat="1" applyFont="1" applyBorder="1" applyAlignment="1">
      <alignment horizontal="right" vertical="center"/>
    </xf>
    <xf numFmtId="181" fontId="54" fillId="0" borderId="15" xfId="0" applyNumberFormat="1" applyFont="1" applyBorder="1" applyAlignment="1">
      <alignment horizontal="right" vertical="center"/>
    </xf>
    <xf numFmtId="181" fontId="54" fillId="0" borderId="40" xfId="0" applyNumberFormat="1" applyFont="1" applyBorder="1" applyAlignment="1">
      <alignment horizontal="right" vertical="center"/>
    </xf>
    <xf numFmtId="177" fontId="57" fillId="0" borderId="15" xfId="0" applyNumberFormat="1" applyFont="1" applyBorder="1" applyAlignment="1">
      <alignment horizontal="center" vertical="center" wrapText="1"/>
    </xf>
    <xf numFmtId="182" fontId="56" fillId="0" borderId="31" xfId="0" applyNumberFormat="1" applyFont="1" applyBorder="1" applyAlignment="1">
      <alignment horizontal="center" vertical="center" wrapText="1"/>
    </xf>
    <xf numFmtId="0" fontId="56" fillId="0" borderId="31" xfId="0" applyFont="1" applyBorder="1" applyAlignment="1">
      <alignment horizontal="center" vertical="center"/>
    </xf>
    <xf numFmtId="180" fontId="58" fillId="9" borderId="15" xfId="0" applyNumberFormat="1" applyFont="1" applyFill="1" applyBorder="1" applyAlignment="1">
      <alignment horizontal="center" vertical="center"/>
    </xf>
    <xf numFmtId="177" fontId="57" fillId="9" borderId="15" xfId="0" applyNumberFormat="1" applyFont="1" applyFill="1" applyBorder="1" applyAlignment="1">
      <alignment horizontal="center" vertical="center" wrapText="1"/>
    </xf>
    <xf numFmtId="179" fontId="49" fillId="9" borderId="15" xfId="0" applyNumberFormat="1" applyFont="1" applyFill="1" applyBorder="1" applyAlignment="1">
      <alignment horizontal="center" vertical="center"/>
    </xf>
    <xf numFmtId="177" fontId="49" fillId="9" borderId="15" xfId="0" applyNumberFormat="1" applyFont="1" applyFill="1" applyBorder="1" applyAlignment="1">
      <alignment horizontal="center" vertical="center"/>
    </xf>
    <xf numFmtId="176" fontId="54" fillId="9" borderId="15" xfId="0" applyNumberFormat="1" applyFont="1" applyFill="1" applyBorder="1" applyAlignment="1">
      <alignment horizontal="center" vertical="center"/>
    </xf>
    <xf numFmtId="176" fontId="54" fillId="9" borderId="15" xfId="0" applyNumberFormat="1" applyFont="1" applyFill="1" applyBorder="1">
      <alignment vertical="center"/>
    </xf>
    <xf numFmtId="176" fontId="54" fillId="9" borderId="15" xfId="0" applyNumberFormat="1" applyFont="1" applyFill="1" applyBorder="1" applyAlignment="1">
      <alignment horizontal="right" vertical="center"/>
    </xf>
    <xf numFmtId="181" fontId="54" fillId="9" borderId="34" xfId="0" applyNumberFormat="1" applyFont="1" applyFill="1" applyBorder="1" applyAlignment="1">
      <alignment horizontal="right" vertical="center"/>
    </xf>
    <xf numFmtId="0" fontId="11" fillId="4" borderId="15" xfId="0" applyFont="1" applyFill="1" applyBorder="1" applyAlignment="1">
      <alignment horizontal="left" vertical="center" wrapText="1"/>
    </xf>
    <xf numFmtId="176" fontId="21" fillId="4" borderId="15" xfId="0" applyNumberFormat="1" applyFont="1" applyFill="1" applyBorder="1" applyAlignment="1">
      <alignment horizontal="center" vertical="center"/>
    </xf>
    <xf numFmtId="182" fontId="56" fillId="4" borderId="15" xfId="0" applyNumberFormat="1" applyFont="1" applyFill="1" applyBorder="1" applyAlignment="1">
      <alignment horizontal="center" vertical="center"/>
    </xf>
    <xf numFmtId="0" fontId="56" fillId="4" borderId="15" xfId="17" applyFont="1" applyFill="1" applyBorder="1" applyAlignment="1">
      <alignment horizontal="center" vertical="center"/>
    </xf>
    <xf numFmtId="176" fontId="21" fillId="4" borderId="15" xfId="0" applyNumberFormat="1" applyFont="1" applyFill="1" applyBorder="1">
      <alignment vertical="center"/>
    </xf>
    <xf numFmtId="181" fontId="59" fillId="4" borderId="15" xfId="0" applyNumberFormat="1" applyFont="1" applyFill="1" applyBorder="1" applyAlignment="1">
      <alignment horizontal="right" vertical="center"/>
    </xf>
    <xf numFmtId="181" fontId="60" fillId="4" borderId="15" xfId="0" applyNumberFormat="1" applyFont="1" applyFill="1" applyBorder="1" applyAlignment="1">
      <alignment horizontal="right" vertical="center"/>
    </xf>
    <xf numFmtId="0" fontId="17" fillId="4" borderId="15" xfId="0" applyFont="1" applyFill="1" applyBorder="1" applyAlignment="1">
      <alignment horizontal="left" vertical="center" wrapText="1"/>
    </xf>
    <xf numFmtId="183" fontId="53" fillId="4" borderId="15" xfId="0" applyNumberFormat="1" applyFont="1" applyFill="1" applyBorder="1" applyAlignment="1">
      <alignment horizontal="center" vertical="center" wrapText="1"/>
    </xf>
    <xf numFmtId="179" fontId="21" fillId="4" borderId="15" xfId="17" applyNumberFormat="1" applyFont="1" applyFill="1" applyBorder="1" applyAlignment="1">
      <alignment horizontal="center"/>
    </xf>
    <xf numFmtId="177" fontId="21" fillId="4" borderId="15" xfId="17" applyNumberFormat="1" applyFont="1" applyFill="1" applyBorder="1" applyAlignment="1">
      <alignment horizontal="center"/>
    </xf>
    <xf numFmtId="181" fontId="59" fillId="4" borderId="15" xfId="17" applyNumberFormat="1" applyFont="1" applyFill="1" applyBorder="1" applyAlignment="1">
      <alignment horizontal="right"/>
    </xf>
    <xf numFmtId="181" fontId="22" fillId="4" borderId="15" xfId="17" applyNumberFormat="1" applyFont="1" applyFill="1" applyBorder="1" applyAlignment="1">
      <alignment horizontal="right"/>
    </xf>
    <xf numFmtId="176" fontId="21" fillId="4" borderId="15" xfId="0" applyNumberFormat="1" applyFont="1" applyFill="1" applyBorder="1" applyAlignment="1">
      <alignment horizontal="right" vertical="center"/>
    </xf>
    <xf numFmtId="0" fontId="21" fillId="4" borderId="15" xfId="17" applyFont="1" applyFill="1" applyBorder="1" applyAlignment="1">
      <alignment horizontal="center"/>
    </xf>
    <xf numFmtId="181" fontId="54" fillId="9" borderId="15" xfId="0" applyNumberFormat="1" applyFont="1" applyFill="1" applyBorder="1" applyAlignment="1">
      <alignment horizontal="right" vertical="center"/>
    </xf>
    <xf numFmtId="180" fontId="19" fillId="0" borderId="15" xfId="0" applyNumberFormat="1" applyFont="1" applyBorder="1" applyAlignment="1">
      <alignment horizontal="left" vertical="center" wrapText="1"/>
    </xf>
    <xf numFmtId="38" fontId="21" fillId="0" borderId="15" xfId="0" applyNumberFormat="1" applyFont="1" applyBorder="1" applyAlignment="1">
      <alignment horizontal="center" vertical="center"/>
    </xf>
    <xf numFmtId="176" fontId="22" fillId="0" borderId="15" xfId="0" applyNumberFormat="1" applyFont="1" applyBorder="1" applyAlignment="1">
      <alignment horizontal="center" vertical="center"/>
    </xf>
    <xf numFmtId="179" fontId="22" fillId="0" borderId="15" xfId="0" applyNumberFormat="1" applyFont="1" applyBorder="1" applyAlignment="1">
      <alignment horizontal="center" vertical="center"/>
    </xf>
    <xf numFmtId="177" fontId="22" fillId="0" borderId="15" xfId="0" applyNumberFormat="1" applyFont="1" applyBorder="1" applyAlignment="1">
      <alignment horizontal="center" vertical="center"/>
    </xf>
    <xf numFmtId="176" fontId="22" fillId="0" borderId="15" xfId="0" applyNumberFormat="1" applyFont="1" applyBorder="1">
      <alignment vertical="center"/>
    </xf>
    <xf numFmtId="176" fontId="22" fillId="0" borderId="15" xfId="0" applyNumberFormat="1" applyFont="1" applyBorder="1" applyAlignment="1">
      <alignment horizontal="right" vertical="center"/>
    </xf>
    <xf numFmtId="181" fontId="22" fillId="0" borderId="15" xfId="0" applyNumberFormat="1" applyFont="1" applyBorder="1" applyAlignment="1">
      <alignment horizontal="right" vertical="center"/>
    </xf>
    <xf numFmtId="177" fontId="21" fillId="0" borderId="15" xfId="0" applyNumberFormat="1" applyFont="1" applyBorder="1" applyAlignment="1">
      <alignment horizontal="center" vertical="center"/>
    </xf>
    <xf numFmtId="180" fontId="45" fillId="9" borderId="15" xfId="0" applyNumberFormat="1" applyFont="1" applyFill="1" applyBorder="1" applyAlignment="1">
      <alignment horizontal="center" vertical="center"/>
    </xf>
    <xf numFmtId="180" fontId="48" fillId="9" borderId="15" xfId="0" applyNumberFormat="1" applyFont="1" applyFill="1" applyBorder="1" applyAlignment="1">
      <alignment vertical="center" wrapText="1"/>
    </xf>
    <xf numFmtId="177" fontId="48" fillId="9" borderId="15" xfId="0" applyNumberFormat="1" applyFont="1" applyFill="1" applyBorder="1">
      <alignment vertical="center"/>
    </xf>
    <xf numFmtId="179" fontId="61" fillId="9" borderId="15" xfId="0" applyNumberFormat="1" applyFont="1" applyFill="1" applyBorder="1" applyAlignment="1">
      <alignment horizontal="center" vertical="center"/>
    </xf>
    <xf numFmtId="177" fontId="61" fillId="9" borderId="15" xfId="0" applyNumberFormat="1" applyFont="1" applyFill="1" applyBorder="1" applyAlignment="1">
      <alignment horizontal="center" vertical="center"/>
    </xf>
    <xf numFmtId="180" fontId="45" fillId="9" borderId="15" xfId="0" applyNumberFormat="1" applyFont="1" applyFill="1" applyBorder="1" applyAlignment="1">
      <alignment vertical="center" wrapText="1"/>
    </xf>
    <xf numFmtId="180" fontId="61" fillId="3" borderId="15" xfId="0" applyNumberFormat="1" applyFont="1" applyFill="1" applyBorder="1" applyAlignment="1">
      <alignment horizontal="center" vertical="center"/>
    </xf>
    <xf numFmtId="176" fontId="61" fillId="3" borderId="15" xfId="0" applyNumberFormat="1" applyFont="1" applyFill="1" applyBorder="1" applyAlignment="1">
      <alignment horizontal="center" vertical="center"/>
    </xf>
    <xf numFmtId="176" fontId="61" fillId="3" borderId="15" xfId="0" applyNumberFormat="1" applyFont="1" applyFill="1" applyBorder="1">
      <alignment vertical="center"/>
    </xf>
    <xf numFmtId="176" fontId="61" fillId="3" borderId="15" xfId="0" applyNumberFormat="1" applyFont="1" applyFill="1" applyBorder="1" applyAlignment="1">
      <alignment horizontal="right" vertical="center"/>
    </xf>
    <xf numFmtId="181" fontId="49" fillId="3" borderId="15" xfId="0" applyNumberFormat="1" applyFont="1" applyFill="1" applyBorder="1" applyAlignment="1">
      <alignment horizontal="right" vertical="center"/>
    </xf>
    <xf numFmtId="0" fontId="48" fillId="4" borderId="15" xfId="0" applyFont="1" applyFill="1" applyBorder="1" applyAlignment="1">
      <alignment horizontal="right" vertical="center" wrapText="1"/>
    </xf>
    <xf numFmtId="0" fontId="48" fillId="4" borderId="15" xfId="0" applyFont="1" applyFill="1" applyBorder="1" applyAlignment="1">
      <alignment horizontal="center" vertical="center"/>
    </xf>
    <xf numFmtId="181" fontId="61" fillId="4" borderId="15" xfId="0" applyNumberFormat="1" applyFont="1" applyFill="1" applyBorder="1" applyAlignment="1">
      <alignment horizontal="center" vertical="center"/>
    </xf>
    <xf numFmtId="179" fontId="61" fillId="4" borderId="15" xfId="0" applyNumberFormat="1" applyFont="1" applyFill="1" applyBorder="1" applyAlignment="1">
      <alignment horizontal="center" vertical="center"/>
    </xf>
    <xf numFmtId="177" fontId="61" fillId="4" borderId="15" xfId="0" applyNumberFormat="1" applyFont="1" applyFill="1" applyBorder="1" applyAlignment="1">
      <alignment horizontal="center" vertical="center"/>
    </xf>
    <xf numFmtId="181" fontId="54" fillId="4" borderId="15" xfId="0" applyNumberFormat="1" applyFont="1" applyFill="1" applyBorder="1" applyAlignment="1">
      <alignment horizontal="center" vertical="center"/>
    </xf>
    <xf numFmtId="177" fontId="48" fillId="4" borderId="15" xfId="0" applyNumberFormat="1" applyFont="1" applyFill="1" applyBorder="1">
      <alignment vertical="center"/>
    </xf>
    <xf numFmtId="177" fontId="61" fillId="4" borderId="15" xfId="0" applyNumberFormat="1" applyFont="1" applyFill="1" applyBorder="1">
      <alignment vertical="center"/>
    </xf>
    <xf numFmtId="181" fontId="61" fillId="4" borderId="15" xfId="0" applyNumberFormat="1" applyFont="1" applyFill="1" applyBorder="1" applyAlignment="1">
      <alignment horizontal="right" vertical="center"/>
    </xf>
    <xf numFmtId="0" fontId="21" fillId="0" borderId="15" xfId="17" applyFont="1" applyBorder="1"/>
    <xf numFmtId="0" fontId="45" fillId="0" borderId="15" xfId="17" applyFont="1" applyBorder="1" applyAlignment="1">
      <alignment wrapText="1"/>
    </xf>
    <xf numFmtId="0" fontId="48" fillId="3" borderId="15" xfId="17" applyFont="1" applyFill="1" applyBorder="1" applyAlignment="1">
      <alignment horizontal="center" vertical="center"/>
    </xf>
    <xf numFmtId="0" fontId="45" fillId="0" borderId="15" xfId="17" applyFont="1" applyBorder="1" applyAlignment="1">
      <alignment horizontal="right" wrapText="1"/>
    </xf>
    <xf numFmtId="176" fontId="49" fillId="0" borderId="15" xfId="1" applyNumberFormat="1" applyFont="1" applyBorder="1" applyAlignment="1">
      <alignment horizontal="center"/>
    </xf>
    <xf numFmtId="176" fontId="21" fillId="0" borderId="15" xfId="17" applyNumberFormat="1" applyFont="1" applyBorder="1" applyAlignment="1">
      <alignment horizontal="center"/>
    </xf>
    <xf numFmtId="184" fontId="21" fillId="0" borderId="15" xfId="17" applyNumberFormat="1" applyFont="1" applyBorder="1"/>
    <xf numFmtId="0" fontId="19" fillId="0" borderId="15" xfId="17" applyFont="1" applyBorder="1" applyAlignment="1">
      <alignment horizontal="left" wrapText="1"/>
    </xf>
    <xf numFmtId="10" fontId="49" fillId="0" borderId="15" xfId="1" applyNumberFormat="1" applyFont="1" applyBorder="1" applyAlignment="1">
      <alignment horizontal="center"/>
    </xf>
    <xf numFmtId="10" fontId="21" fillId="0" borderId="15" xfId="1" applyNumberFormat="1" applyFont="1" applyBorder="1" applyAlignment="1">
      <alignment horizontal="center"/>
    </xf>
    <xf numFmtId="0" fontId="19" fillId="0" borderId="15" xfId="17" applyFont="1" applyBorder="1" applyAlignment="1">
      <alignment horizontal="center" vertical="center" wrapText="1"/>
    </xf>
    <xf numFmtId="0" fontId="45" fillId="0" borderId="15" xfId="17" applyFont="1" applyBorder="1" applyAlignment="1">
      <alignment horizontal="center" vertical="center" wrapText="1"/>
    </xf>
    <xf numFmtId="9" fontId="49" fillId="0" borderId="15" xfId="1" applyFont="1" applyBorder="1" applyAlignment="1">
      <alignment horizontal="center" vertical="center" wrapText="1"/>
    </xf>
    <xf numFmtId="0" fontId="45" fillId="11" borderId="15" xfId="17" applyFont="1" applyFill="1" applyBorder="1" applyAlignment="1">
      <alignment horizontal="center" vertical="center" wrapText="1"/>
    </xf>
    <xf numFmtId="177" fontId="21" fillId="0" borderId="15" xfId="17" applyNumberFormat="1" applyFont="1" applyBorder="1" applyAlignment="1">
      <alignment horizontal="center"/>
    </xf>
    <xf numFmtId="181" fontId="21" fillId="0" borderId="15" xfId="17" applyNumberFormat="1" applyFont="1" applyBorder="1" applyAlignment="1">
      <alignment horizontal="center"/>
    </xf>
    <xf numFmtId="179" fontId="22" fillId="0" borderId="15" xfId="17" applyNumberFormat="1" applyFont="1" applyBorder="1" applyAlignment="1">
      <alignment horizontal="center"/>
    </xf>
    <xf numFmtId="0" fontId="12" fillId="0" borderId="15" xfId="2" applyBorder="1" applyAlignment="1" applyProtection="1">
      <alignment horizontal="center" vertical="center"/>
    </xf>
    <xf numFmtId="181" fontId="22" fillId="0" borderId="15" xfId="17" applyNumberFormat="1" applyFont="1" applyBorder="1" applyAlignment="1">
      <alignment horizontal="center"/>
    </xf>
    <xf numFmtId="0" fontId="12" fillId="0" borderId="15" xfId="2" applyBorder="1" applyAlignment="1" applyProtection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177" fontId="21" fillId="0" borderId="8" xfId="17" applyNumberFormat="1" applyFont="1" applyBorder="1" applyAlignment="1">
      <alignment horizontal="center"/>
    </xf>
    <xf numFmtId="0" fontId="24" fillId="8" borderId="15" xfId="13" applyFont="1" applyFill="1" applyBorder="1" applyAlignment="1">
      <alignment horizontal="center" vertical="center"/>
    </xf>
    <xf numFmtId="0" fontId="53" fillId="0" borderId="15" xfId="17" applyFont="1" applyBorder="1" applyAlignment="1">
      <alignment horizontal="left" vertical="center" wrapText="1"/>
    </xf>
    <xf numFmtId="0" fontId="53" fillId="0" borderId="15" xfId="5" applyFont="1" applyBorder="1" applyAlignment="1">
      <alignment horizontal="center" vertical="center"/>
    </xf>
    <xf numFmtId="181" fontId="67" fillId="4" borderId="15" xfId="17" applyNumberFormat="1" applyFont="1" applyFill="1" applyBorder="1" applyAlignment="1">
      <alignment horizontal="right"/>
    </xf>
    <xf numFmtId="183" fontId="53" fillId="8" borderId="15" xfId="0" applyNumberFormat="1" applyFont="1" applyFill="1" applyBorder="1" applyAlignment="1">
      <alignment horizontal="center" vertical="center" wrapText="1"/>
    </xf>
    <xf numFmtId="180" fontId="48" fillId="9" borderId="15" xfId="0" applyNumberFormat="1" applyFont="1" applyFill="1" applyBorder="1" applyAlignment="1">
      <alignment horizontal="center" vertical="center"/>
    </xf>
    <xf numFmtId="0" fontId="52" fillId="0" borderId="33" xfId="17" applyFont="1" applyBorder="1" applyAlignment="1">
      <alignment horizontal="center" vertical="center"/>
    </xf>
    <xf numFmtId="0" fontId="52" fillId="0" borderId="33" xfId="17" applyFont="1" applyBorder="1" applyAlignment="1">
      <alignment horizontal="center" vertical="center"/>
    </xf>
    <xf numFmtId="0" fontId="52" fillId="0" borderId="39" xfId="17" applyFont="1" applyBorder="1" applyAlignment="1">
      <alignment horizontal="center" vertical="center"/>
    </xf>
    <xf numFmtId="0" fontId="52" fillId="0" borderId="31" xfId="17" applyFont="1" applyBorder="1" applyAlignment="1">
      <alignment horizontal="center" vertical="center"/>
    </xf>
    <xf numFmtId="177" fontId="45" fillId="0" borderId="15" xfId="17" applyNumberFormat="1" applyFont="1" applyBorder="1" applyAlignment="1">
      <alignment horizontal="center" vertical="center"/>
    </xf>
    <xf numFmtId="177" fontId="19" fillId="0" borderId="16" xfId="17" applyNumberFormat="1" applyFont="1" applyBorder="1" applyAlignment="1">
      <alignment horizontal="left" vertical="center"/>
    </xf>
    <xf numFmtId="177" fontId="21" fillId="0" borderId="17" xfId="17" applyNumberFormat="1" applyFont="1" applyBorder="1" applyAlignment="1">
      <alignment horizontal="center" vertical="center"/>
    </xf>
    <xf numFmtId="177" fontId="21" fillId="0" borderId="34" xfId="17" applyNumberFormat="1" applyFont="1" applyBorder="1" applyAlignment="1">
      <alignment horizontal="center" vertical="center"/>
    </xf>
    <xf numFmtId="177" fontId="45" fillId="0" borderId="38" xfId="17" applyNumberFormat="1" applyFont="1" applyBorder="1" applyAlignment="1">
      <alignment horizontal="center" vertical="center"/>
    </xf>
    <xf numFmtId="177" fontId="45" fillId="0" borderId="34" xfId="17" applyNumberFormat="1" applyFont="1" applyBorder="1" applyAlignment="1">
      <alignment horizontal="center" vertical="center" wrapText="1"/>
    </xf>
    <xf numFmtId="177" fontId="49" fillId="0" borderId="15" xfId="17" applyNumberFormat="1" applyFont="1" applyBorder="1" applyAlignment="1">
      <alignment horizontal="center" vertical="center"/>
    </xf>
    <xf numFmtId="177" fontId="49" fillId="0" borderId="16" xfId="17" applyNumberFormat="1" applyFont="1" applyBorder="1" applyAlignment="1">
      <alignment horizontal="center" vertical="center"/>
    </xf>
    <xf numFmtId="0" fontId="19" fillId="0" borderId="14" xfId="17" applyFont="1" applyBorder="1" applyAlignment="1">
      <alignment horizontal="center" vertical="center"/>
    </xf>
    <xf numFmtId="0" fontId="19" fillId="0" borderId="16" xfId="17" applyFont="1" applyBorder="1" applyAlignment="1">
      <alignment horizontal="left" vertical="center" wrapText="1"/>
    </xf>
    <xf numFmtId="0" fontId="19" fillId="0" borderId="17" xfId="17" applyFont="1" applyBorder="1" applyAlignment="1">
      <alignment horizontal="center" vertical="center"/>
    </xf>
    <xf numFmtId="0" fontId="13" fillId="0" borderId="1" xfId="17" applyFont="1" applyBorder="1" applyAlignment="1">
      <alignment horizontal="center" vertical="center"/>
    </xf>
    <xf numFmtId="0" fontId="13" fillId="0" borderId="2" xfId="17" applyFont="1" applyBorder="1" applyAlignment="1">
      <alignment horizontal="center" vertical="center" wrapText="1"/>
    </xf>
    <xf numFmtId="0" fontId="13" fillId="0" borderId="2" xfId="17" applyFont="1" applyBorder="1" applyAlignment="1">
      <alignment horizontal="center" vertical="center"/>
    </xf>
    <xf numFmtId="0" fontId="13" fillId="0" borderId="30" xfId="17" applyFont="1" applyBorder="1" applyAlignment="1">
      <alignment horizontal="center" vertical="center"/>
    </xf>
    <xf numFmtId="0" fontId="13" fillId="0" borderId="12" xfId="17" applyFont="1" applyBorder="1" applyAlignment="1">
      <alignment horizontal="center" vertical="center"/>
    </xf>
    <xf numFmtId="0" fontId="13" fillId="0" borderId="2" xfId="17" applyFont="1" applyBorder="1" applyAlignment="1">
      <alignment horizontal="right" vertical="center"/>
    </xf>
    <xf numFmtId="0" fontId="13" fillId="0" borderId="13" xfId="17" applyFont="1" applyBorder="1" applyAlignment="1">
      <alignment horizontal="center" vertical="center"/>
    </xf>
    <xf numFmtId="0" fontId="42" fillId="0" borderId="15" xfId="17" applyFont="1" applyBorder="1" applyAlignment="1">
      <alignment horizontal="left"/>
    </xf>
    <xf numFmtId="0" fontId="19" fillId="0" borderId="15" xfId="17" applyFont="1" applyBorder="1" applyAlignment="1">
      <alignment horizontal="left"/>
    </xf>
    <xf numFmtId="0" fontId="19" fillId="0" borderId="15" xfId="17" applyFont="1" applyBorder="1" applyAlignment="1">
      <alignment horizontal="right"/>
    </xf>
    <xf numFmtId="0" fontId="19" fillId="0" borderId="19" xfId="17" applyFont="1" applyBorder="1" applyAlignment="1">
      <alignment horizontal="left"/>
    </xf>
    <xf numFmtId="0" fontId="48" fillId="0" borderId="15" xfId="17" applyFont="1" applyBorder="1" applyAlignment="1">
      <alignment horizontal="left"/>
    </xf>
    <xf numFmtId="0" fontId="48" fillId="0" borderId="15" xfId="17" applyFont="1" applyBorder="1" applyAlignment="1">
      <alignment horizontal="right"/>
    </xf>
    <xf numFmtId="0" fontId="48" fillId="0" borderId="19" xfId="17" applyFont="1" applyBorder="1" applyAlignment="1">
      <alignment horizontal="left"/>
    </xf>
    <xf numFmtId="177" fontId="48" fillId="9" borderId="15" xfId="0" applyNumberFormat="1" applyFont="1" applyFill="1" applyBorder="1" applyAlignment="1">
      <alignment horizontal="center" vertical="center"/>
    </xf>
    <xf numFmtId="177" fontId="48" fillId="9" borderId="15" xfId="0" applyNumberFormat="1" applyFont="1" applyFill="1" applyBorder="1" applyAlignment="1">
      <alignment horizontal="right" vertical="center"/>
    </xf>
    <xf numFmtId="177" fontId="61" fillId="9" borderId="15" xfId="0" applyNumberFormat="1" applyFont="1" applyFill="1" applyBorder="1" applyAlignment="1">
      <alignment horizontal="right" vertical="center"/>
    </xf>
    <xf numFmtId="177" fontId="45" fillId="9" borderId="15" xfId="0" applyNumberFormat="1" applyFont="1" applyFill="1" applyBorder="1" applyAlignment="1">
      <alignment horizontal="left" vertical="center"/>
    </xf>
    <xf numFmtId="177" fontId="45" fillId="9" borderId="15" xfId="0" applyNumberFormat="1" applyFont="1" applyFill="1" applyBorder="1" applyAlignment="1">
      <alignment horizontal="center" vertical="center"/>
    </xf>
    <xf numFmtId="177" fontId="45" fillId="0" borderId="15" xfId="17" applyNumberFormat="1" applyFont="1" applyBorder="1" applyAlignment="1">
      <alignment horizontal="right" vertical="center"/>
    </xf>
    <xf numFmtId="0" fontId="45" fillId="3" borderId="15" xfId="0" applyFont="1" applyFill="1" applyBorder="1" applyAlignment="1">
      <alignment horizontal="right" vertical="center"/>
    </xf>
    <xf numFmtId="0" fontId="45" fillId="3" borderId="15" xfId="0" applyFont="1" applyFill="1" applyBorder="1" applyAlignment="1">
      <alignment horizontal="right" vertical="center" wrapText="1"/>
    </xf>
    <xf numFmtId="0" fontId="45" fillId="3" borderId="15" xfId="0" applyFont="1" applyFill="1" applyBorder="1" applyAlignment="1">
      <alignment horizontal="center" vertical="center"/>
    </xf>
    <xf numFmtId="177" fontId="45" fillId="3" borderId="15" xfId="0" applyNumberFormat="1" applyFont="1" applyFill="1" applyBorder="1" applyAlignment="1">
      <alignment horizontal="center" vertical="center"/>
    </xf>
    <xf numFmtId="177" fontId="49" fillId="3" borderId="15" xfId="0" applyNumberFormat="1" applyFont="1" applyFill="1" applyBorder="1" applyAlignment="1">
      <alignment horizontal="center" vertical="center"/>
    </xf>
    <xf numFmtId="177" fontId="48" fillId="4" borderId="15" xfId="0" applyNumberFormat="1" applyFont="1" applyFill="1" applyBorder="1" applyAlignment="1">
      <alignment horizontal="center" vertical="center"/>
    </xf>
    <xf numFmtId="9" fontId="45" fillId="0" borderId="15" xfId="1" applyFont="1" applyBorder="1" applyAlignment="1">
      <alignment horizontal="center"/>
    </xf>
    <xf numFmtId="9" fontId="49" fillId="0" borderId="15" xfId="1" applyFont="1" applyBorder="1" applyAlignment="1">
      <alignment horizontal="center"/>
    </xf>
    <xf numFmtId="176" fontId="45" fillId="0" borderId="15" xfId="1" applyNumberFormat="1" applyFont="1" applyBorder="1" applyAlignment="1">
      <alignment horizontal="center"/>
    </xf>
    <xf numFmtId="176" fontId="49" fillId="0" borderId="15" xfId="1" applyNumberFormat="1" applyFont="1" applyBorder="1" applyAlignment="1">
      <alignment horizontal="center"/>
    </xf>
    <xf numFmtId="0" fontId="45" fillId="0" borderId="15" xfId="17" applyFont="1" applyBorder="1" applyAlignment="1">
      <alignment horizontal="center" vertical="center"/>
    </xf>
    <xf numFmtId="184" fontId="21" fillId="0" borderId="15" xfId="1" applyNumberFormat="1" applyFont="1" applyFill="1" applyBorder="1" applyAlignment="1">
      <alignment horizontal="center"/>
    </xf>
    <xf numFmtId="0" fontId="48" fillId="10" borderId="15" xfId="17" applyFont="1" applyFill="1" applyBorder="1" applyAlignment="1">
      <alignment horizontal="center" vertical="center"/>
    </xf>
    <xf numFmtId="0" fontId="48" fillId="10" borderId="15" xfId="17" applyFont="1" applyFill="1" applyBorder="1" applyAlignment="1">
      <alignment horizontal="right" vertical="center"/>
    </xf>
    <xf numFmtId="0" fontId="45" fillId="0" borderId="15" xfId="17" applyFont="1" applyBorder="1" applyAlignment="1">
      <alignment horizontal="center"/>
    </xf>
    <xf numFmtId="0" fontId="45" fillId="0" borderId="15" xfId="17" applyFont="1" applyBorder="1" applyAlignment="1">
      <alignment horizontal="right"/>
    </xf>
    <xf numFmtId="0" fontId="49" fillId="0" borderId="15" xfId="17" applyFont="1" applyBorder="1" applyAlignment="1">
      <alignment horizontal="center"/>
    </xf>
    <xf numFmtId="0" fontId="21" fillId="0" borderId="15" xfId="17" applyFont="1" applyBorder="1" applyAlignment="1">
      <alignment horizontal="left"/>
    </xf>
    <xf numFmtId="0" fontId="21" fillId="0" borderId="15" xfId="17" applyFont="1" applyBorder="1" applyAlignment="1">
      <alignment horizontal="right"/>
    </xf>
    <xf numFmtId="9" fontId="45" fillId="0" borderId="15" xfId="1" applyFont="1" applyBorder="1" applyAlignment="1">
      <alignment horizontal="center" vertical="center" wrapText="1"/>
    </xf>
    <xf numFmtId="9" fontId="49" fillId="0" borderId="15" xfId="1" applyFont="1" applyBorder="1" applyAlignment="1">
      <alignment horizontal="center" vertical="center" wrapText="1"/>
    </xf>
    <xf numFmtId="177" fontId="46" fillId="0" borderId="15" xfId="17" applyNumberFormat="1" applyFont="1" applyBorder="1" applyAlignment="1">
      <alignment horizontal="center" vertical="center" wrapText="1"/>
    </xf>
    <xf numFmtId="0" fontId="45" fillId="0" borderId="15" xfId="17" applyFont="1" applyBorder="1" applyAlignment="1">
      <alignment horizontal="center" vertical="center" wrapText="1"/>
    </xf>
    <xf numFmtId="0" fontId="45" fillId="0" borderId="15" xfId="17" applyFont="1" applyBorder="1" applyAlignment="1">
      <alignment horizontal="right" vertical="center" wrapText="1"/>
    </xf>
    <xf numFmtId="0" fontId="58" fillId="0" borderId="15" xfId="0" applyFont="1" applyBorder="1" applyAlignment="1">
      <alignment horizontal="center" vertical="center" wrapText="1"/>
    </xf>
    <xf numFmtId="10" fontId="45" fillId="9" borderId="15" xfId="0" applyNumberFormat="1" applyFont="1" applyFill="1" applyBorder="1" applyAlignment="1">
      <alignment horizontal="center" vertical="center"/>
    </xf>
    <xf numFmtId="0" fontId="45" fillId="9" borderId="15" xfId="0" applyFont="1" applyFill="1" applyBorder="1" applyAlignment="1">
      <alignment horizontal="center" vertical="center"/>
    </xf>
    <xf numFmtId="176" fontId="49" fillId="9" borderId="15" xfId="0" applyNumberFormat="1" applyFont="1" applyFill="1" applyBorder="1" applyAlignment="1">
      <alignment horizontal="center" vertical="center"/>
    </xf>
    <xf numFmtId="180" fontId="48" fillId="9" borderId="15" xfId="0" applyNumberFormat="1" applyFont="1" applyFill="1" applyBorder="1" applyAlignment="1">
      <alignment horizontal="center" vertical="center"/>
    </xf>
    <xf numFmtId="184" fontId="21" fillId="0" borderId="15" xfId="17" applyNumberFormat="1" applyFont="1" applyBorder="1" applyAlignment="1">
      <alignment horizontal="center" vertical="center"/>
    </xf>
    <xf numFmtId="9" fontId="45" fillId="0" borderId="15" xfId="17" applyNumberFormat="1" applyFont="1" applyBorder="1" applyAlignment="1">
      <alignment horizontal="center"/>
    </xf>
    <xf numFmtId="9" fontId="49" fillId="0" borderId="15" xfId="17" applyNumberFormat="1" applyFont="1" applyBorder="1" applyAlignment="1">
      <alignment horizontal="right"/>
    </xf>
    <xf numFmtId="0" fontId="45" fillId="0" borderId="15" xfId="17" applyFont="1" applyBorder="1" applyAlignment="1">
      <alignment horizontal="right" vertical="center"/>
    </xf>
    <xf numFmtId="0" fontId="58" fillId="4" borderId="15" xfId="17" applyFont="1" applyFill="1" applyBorder="1" applyAlignment="1">
      <alignment horizontal="center" vertical="center" wrapText="1"/>
    </xf>
    <xf numFmtId="176" fontId="54" fillId="9" borderId="15" xfId="0" applyNumberFormat="1" applyFont="1" applyFill="1" applyBorder="1" applyAlignment="1">
      <alignment horizontal="right" vertical="center"/>
    </xf>
    <xf numFmtId="180" fontId="45" fillId="9" borderId="15" xfId="0" applyNumberFormat="1" applyFont="1" applyFill="1" applyBorder="1" applyAlignment="1">
      <alignment horizontal="center" vertical="center"/>
    </xf>
    <xf numFmtId="176" fontId="54" fillId="9" borderId="15" xfId="0" applyNumberFormat="1" applyFont="1" applyFill="1" applyBorder="1" applyAlignment="1">
      <alignment horizontal="center" vertical="center"/>
    </xf>
    <xf numFmtId="0" fontId="40" fillId="0" borderId="0" xfId="13" applyFont="1" applyAlignment="1">
      <alignment horizontal="center" vertical="center"/>
    </xf>
    <xf numFmtId="0" fontId="40" fillId="0" borderId="36" xfId="13" applyFont="1" applyBorder="1" applyAlignment="1">
      <alignment horizontal="center" vertical="center"/>
    </xf>
    <xf numFmtId="0" fontId="41" fillId="0" borderId="11" xfId="13" applyFont="1" applyBorder="1" applyAlignment="1">
      <alignment horizontal="left" vertical="center" wrapText="1"/>
    </xf>
    <xf numFmtId="0" fontId="41" fillId="0" borderId="11" xfId="13" applyFont="1" applyBorder="1" applyAlignment="1">
      <alignment horizontal="left" vertical="center"/>
    </xf>
    <xf numFmtId="0" fontId="41" fillId="0" borderId="11" xfId="13" applyFont="1" applyBorder="1" applyAlignment="1">
      <alignment horizontal="center" vertical="center"/>
    </xf>
    <xf numFmtId="0" fontId="41" fillId="0" borderId="27" xfId="13" applyFont="1" applyBorder="1" applyAlignment="1">
      <alignment horizontal="left" vertical="center"/>
    </xf>
    <xf numFmtId="0" fontId="44" fillId="0" borderId="15" xfId="13" applyFont="1" applyBorder="1" applyAlignment="1">
      <alignment horizontal="center" vertical="center"/>
    </xf>
    <xf numFmtId="0" fontId="44" fillId="0" borderId="19" xfId="13" applyFont="1" applyBorder="1" applyAlignment="1">
      <alignment horizontal="center" vertical="center"/>
    </xf>
    <xf numFmtId="0" fontId="34" fillId="0" borderId="24" xfId="13" applyFont="1" applyBorder="1" applyAlignment="1">
      <alignment horizontal="center" vertical="center"/>
    </xf>
    <xf numFmtId="0" fontId="34" fillId="0" borderId="25" xfId="13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7" borderId="10" xfId="0" applyFont="1" applyFill="1" applyBorder="1" applyAlignment="1">
      <alignment horizontal="center" vertical="center"/>
    </xf>
    <xf numFmtId="0" fontId="34" fillId="7" borderId="11" xfId="0" applyFont="1" applyFill="1" applyBorder="1" applyAlignment="1">
      <alignment horizontal="center" vertical="center"/>
    </xf>
    <xf numFmtId="0" fontId="34" fillId="7" borderId="27" xfId="0" applyFont="1" applyFill="1" applyBorder="1" applyAlignment="1">
      <alignment horizontal="center" vertical="center"/>
    </xf>
    <xf numFmtId="0" fontId="36" fillId="0" borderId="15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0" fontId="34" fillId="7" borderId="14" xfId="0" applyFont="1" applyFill="1" applyBorder="1" applyAlignment="1">
      <alignment horizontal="center" vertical="center"/>
    </xf>
    <xf numFmtId="0" fontId="34" fillId="7" borderId="15" xfId="0" applyFont="1" applyFill="1" applyBorder="1" applyAlignment="1">
      <alignment horizontal="center" vertical="center"/>
    </xf>
    <xf numFmtId="0" fontId="34" fillId="7" borderId="19" xfId="0" applyFont="1" applyFill="1" applyBorder="1" applyAlignment="1">
      <alignment horizontal="center" vertical="center"/>
    </xf>
    <xf numFmtId="0" fontId="27" fillId="4" borderId="15" xfId="0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9" fillId="4" borderId="15" xfId="0" applyFont="1" applyFill="1" applyBorder="1" applyAlignment="1">
      <alignment horizontal="left" vertical="center" wrapText="1"/>
    </xf>
    <xf numFmtId="0" fontId="30" fillId="4" borderId="15" xfId="0" applyFont="1" applyFill="1" applyBorder="1" applyAlignment="1">
      <alignment horizontal="left" vertical="center"/>
    </xf>
    <xf numFmtId="0" fontId="28" fillId="4" borderId="34" xfId="0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8" fillId="4" borderId="33" xfId="0" applyFont="1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vertical="center"/>
    </xf>
    <xf numFmtId="0" fontId="28" fillId="4" borderId="33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33" fillId="4" borderId="16" xfId="0" applyFont="1" applyFill="1" applyBorder="1" applyAlignment="1">
      <alignment horizontal="center"/>
    </xf>
    <xf numFmtId="0" fontId="33" fillId="4" borderId="17" xfId="0" applyFont="1" applyFill="1" applyBorder="1" applyAlignment="1">
      <alignment horizontal="center"/>
    </xf>
    <xf numFmtId="0" fontId="33" fillId="4" borderId="3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31" fontId="16" fillId="0" borderId="11" xfId="0" applyNumberFormat="1" applyFont="1" applyBorder="1" applyAlignment="1">
      <alignment horizontal="left" vertical="center"/>
    </xf>
    <xf numFmtId="31" fontId="16" fillId="0" borderId="11" xfId="0" applyNumberFormat="1" applyFont="1" applyBorder="1" applyAlignment="1">
      <alignment horizontal="center" vertical="center"/>
    </xf>
    <xf numFmtId="31" fontId="16" fillId="0" borderId="27" xfId="0" applyNumberFormat="1" applyFont="1" applyBorder="1" applyAlignment="1">
      <alignment horizontal="left" vertical="center"/>
    </xf>
    <xf numFmtId="176" fontId="4" fillId="0" borderId="5" xfId="0" applyNumberFormat="1" applyFont="1" applyBorder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/>
      <protection locked="0"/>
    </xf>
    <xf numFmtId="176" fontId="7" fillId="0" borderId="7" xfId="0" applyNumberFormat="1" applyFont="1" applyBorder="1" applyAlignment="1" applyProtection="1">
      <alignment horizontal="left" vertical="center"/>
      <protection locked="0"/>
    </xf>
    <xf numFmtId="176" fontId="7" fillId="0" borderId="8" xfId="0" applyNumberFormat="1" applyFont="1" applyBorder="1" applyAlignment="1" applyProtection="1">
      <alignment horizontal="left" vertical="center"/>
      <protection locked="0"/>
    </xf>
    <xf numFmtId="176" fontId="7" fillId="0" borderId="9" xfId="0" applyNumberFormat="1" applyFont="1" applyBorder="1" applyAlignment="1" applyProtection="1">
      <alignment horizontal="left" vertical="center"/>
      <protection locked="0"/>
    </xf>
    <xf numFmtId="176" fontId="5" fillId="2" borderId="11" xfId="0" applyNumberFormat="1" applyFont="1" applyFill="1" applyBorder="1" applyAlignment="1" applyProtection="1">
      <alignment horizontal="left" vertical="center"/>
      <protection locked="0" hidden="1"/>
    </xf>
    <xf numFmtId="0" fontId="2" fillId="2" borderId="12" xfId="0" applyFont="1" applyFill="1" applyBorder="1" applyAlignment="1" applyProtection="1">
      <alignment horizontal="center" vertical="center"/>
      <protection locked="0" hidden="1"/>
    </xf>
    <xf numFmtId="0" fontId="2" fillId="2" borderId="2" xfId="0" applyFont="1" applyFill="1" applyBorder="1" applyAlignment="1" applyProtection="1">
      <alignment horizontal="center" vertical="center"/>
      <protection locked="0" hidden="1"/>
    </xf>
    <xf numFmtId="0" fontId="2" fillId="2" borderId="13" xfId="0" applyFont="1" applyFill="1" applyBorder="1" applyAlignment="1" applyProtection="1">
      <alignment horizontal="center" vertical="center"/>
      <protection locked="0" hidden="1"/>
    </xf>
    <xf numFmtId="176" fontId="5" fillId="2" borderId="15" xfId="0" applyNumberFormat="1" applyFont="1" applyFill="1" applyBorder="1" applyAlignment="1" applyProtection="1">
      <alignment horizontal="right" vertical="center"/>
      <protection locked="0" hidden="1"/>
    </xf>
    <xf numFmtId="0" fontId="2" fillId="0" borderId="26" xfId="0" applyFont="1" applyBorder="1" applyAlignment="1" applyProtection="1">
      <alignment horizontal="center" vertical="center" wrapText="1"/>
      <protection locked="0" hidden="1"/>
    </xf>
    <xf numFmtId="0" fontId="2" fillId="0" borderId="3" xfId="0" applyFont="1" applyBorder="1" applyAlignment="1" applyProtection="1">
      <alignment horizontal="center" vertical="center" wrapText="1"/>
      <protection locked="0" hidden="1"/>
    </xf>
    <xf numFmtId="0" fontId="2" fillId="0" borderId="28" xfId="0" applyFont="1" applyBorder="1" applyAlignment="1" applyProtection="1">
      <alignment horizontal="center" vertical="center" wrapText="1"/>
      <protection locked="0" hidden="1"/>
    </xf>
    <xf numFmtId="0" fontId="2" fillId="0" borderId="29" xfId="0" applyFont="1" applyBorder="1" applyAlignment="1" applyProtection="1">
      <alignment horizontal="center" vertical="center" wrapText="1"/>
      <protection locked="0" hidden="1"/>
    </xf>
    <xf numFmtId="176" fontId="5" fillId="0" borderId="10" xfId="0" applyNumberFormat="1" applyFont="1" applyBorder="1" applyAlignment="1" applyProtection="1">
      <alignment horizontal="center" vertical="center" wrapText="1"/>
      <protection locked="0" hidden="1"/>
    </xf>
    <xf numFmtId="176" fontId="5" fillId="0" borderId="11" xfId="0" applyNumberFormat="1" applyFont="1" applyBorder="1" applyAlignment="1" applyProtection="1">
      <alignment horizontal="center" vertical="center" wrapText="1"/>
      <protection locked="0" hidden="1"/>
    </xf>
    <xf numFmtId="176" fontId="5" fillId="0" borderId="14" xfId="0" applyNumberFormat="1" applyFont="1" applyBorder="1" applyAlignment="1" applyProtection="1">
      <alignment horizontal="center" vertical="center" wrapText="1"/>
      <protection locked="0" hidden="1"/>
    </xf>
    <xf numFmtId="176" fontId="5" fillId="0" borderId="15" xfId="0" applyNumberFormat="1" applyFont="1" applyBorder="1" applyAlignment="1" applyProtection="1">
      <alignment horizontal="center" vertical="center" wrapText="1"/>
      <protection locked="0" hidden="1"/>
    </xf>
    <xf numFmtId="176" fontId="5" fillId="3" borderId="15" xfId="0" applyNumberFormat="1" applyFont="1" applyFill="1" applyBorder="1" applyAlignment="1" applyProtection="1">
      <alignment horizontal="center" vertical="center" wrapText="1"/>
      <protection locked="0" hidden="1"/>
    </xf>
    <xf numFmtId="176" fontId="10" fillId="3" borderId="23" xfId="0" applyNumberFormat="1" applyFont="1" applyFill="1" applyBorder="1" applyAlignment="1" applyProtection="1">
      <alignment horizontal="center" vertical="center"/>
      <protection locked="0" hidden="1"/>
    </xf>
    <xf numFmtId="176" fontId="10" fillId="3" borderId="24" xfId="0" applyNumberFormat="1" applyFont="1" applyFill="1" applyBorder="1" applyAlignment="1" applyProtection="1">
      <alignment horizontal="center" vertical="center"/>
      <protection locked="0" hidden="1"/>
    </xf>
    <xf numFmtId="176" fontId="5" fillId="0" borderId="21" xfId="0" applyNumberFormat="1" applyFont="1" applyBorder="1" applyAlignment="1" applyProtection="1">
      <alignment horizontal="center" vertical="center" wrapText="1"/>
      <protection locked="0" hidden="1"/>
    </xf>
    <xf numFmtId="176" fontId="5" fillId="0" borderId="22" xfId="0" applyNumberFormat="1" applyFont="1" applyBorder="1" applyAlignment="1" applyProtection="1">
      <alignment horizontal="center" vertical="center" wrapText="1"/>
      <protection locked="0" hidden="1"/>
    </xf>
    <xf numFmtId="176" fontId="5" fillId="0" borderId="20" xfId="0" applyNumberFormat="1" applyFont="1" applyBorder="1" applyAlignment="1" applyProtection="1">
      <alignment horizontal="center" vertical="center" wrapText="1"/>
      <protection locked="0" hidden="1"/>
    </xf>
    <xf numFmtId="0" fontId="2" fillId="2" borderId="16" xfId="0" applyFont="1" applyFill="1" applyBorder="1" applyAlignment="1" applyProtection="1">
      <alignment horizontal="center" vertical="center"/>
      <protection locked="0" hidden="1"/>
    </xf>
    <xf numFmtId="0" fontId="2" fillId="2" borderId="17" xfId="0" applyFont="1" applyFill="1" applyBorder="1" applyAlignment="1" applyProtection="1">
      <alignment horizontal="center" vertical="center"/>
      <protection locked="0" hidden="1"/>
    </xf>
    <xf numFmtId="0" fontId="2" fillId="2" borderId="18" xfId="0" applyFont="1" applyFill="1" applyBorder="1" applyAlignment="1" applyProtection="1">
      <alignment horizontal="center" vertical="center"/>
      <protection locked="0" hidden="1"/>
    </xf>
    <xf numFmtId="0" fontId="42" fillId="0" borderId="16" xfId="17" applyFont="1" applyBorder="1" applyAlignment="1">
      <alignment vertical="center" wrapText="1"/>
    </xf>
    <xf numFmtId="177" fontId="68" fillId="0" borderId="16" xfId="17" applyNumberFormat="1" applyFont="1" applyBorder="1" applyAlignment="1">
      <alignment horizontal="left" vertical="center"/>
    </xf>
    <xf numFmtId="31" fontId="42" fillId="0" borderId="16" xfId="17" applyNumberFormat="1" applyFont="1" applyBorder="1" applyAlignment="1">
      <alignment horizontal="left" vertical="center" wrapText="1"/>
    </xf>
    <xf numFmtId="177" fontId="42" fillId="0" borderId="16" xfId="17" applyNumberFormat="1" applyFont="1" applyBorder="1" applyAlignment="1">
      <alignment horizontal="left" vertical="center"/>
    </xf>
    <xf numFmtId="0" fontId="69" fillId="0" borderId="15" xfId="17" applyFont="1" applyBorder="1" applyAlignment="1">
      <alignment horizontal="left" vertical="center"/>
    </xf>
    <xf numFmtId="0" fontId="69" fillId="4" borderId="15" xfId="17" applyFont="1" applyFill="1" applyBorder="1" applyAlignment="1">
      <alignment horizontal="center" vertical="center"/>
    </xf>
    <xf numFmtId="0" fontId="42" fillId="0" borderId="14" xfId="17" applyFont="1" applyBorder="1" applyAlignment="1">
      <alignment horizontal="center" vertical="center"/>
    </xf>
    <xf numFmtId="0" fontId="21" fillId="0" borderId="15" xfId="17" applyFont="1" applyBorder="1" applyAlignment="1">
      <alignment horizontal="center"/>
    </xf>
    <xf numFmtId="0" fontId="19" fillId="0" borderId="15" xfId="17" applyFont="1" applyBorder="1" applyAlignment="1">
      <alignment horizontal="center"/>
    </xf>
    <xf numFmtId="0" fontId="19" fillId="0" borderId="0" xfId="17" applyFont="1" applyAlignment="1">
      <alignment horizontal="center"/>
    </xf>
  </cellXfs>
  <cellStyles count="18">
    <cellStyle name="_ET_STYLE_NoName_00_" xfId="3" xr:uid="{00000000-0005-0000-0000-000031000000}"/>
    <cellStyle name="Normal_Sheet1" xfId="4" xr:uid="{00000000-0005-0000-0000-000032000000}"/>
    <cellStyle name="百分比" xfId="1" builtinId="5"/>
    <cellStyle name="常规" xfId="0" builtinId="0"/>
    <cellStyle name="常规 2" xfId="5" xr:uid="{00000000-0005-0000-0000-000033000000}"/>
    <cellStyle name="常规 2 2" xfId="6" xr:uid="{00000000-0005-0000-0000-000034000000}"/>
    <cellStyle name="常规 2 2 2 4" xfId="7" xr:uid="{00000000-0005-0000-0000-000035000000}"/>
    <cellStyle name="常规 2 3 2" xfId="8" xr:uid="{00000000-0005-0000-0000-000036000000}"/>
    <cellStyle name="常规 3" xfId="9" xr:uid="{00000000-0005-0000-0000-000037000000}"/>
    <cellStyle name="常规 39" xfId="10" xr:uid="{00000000-0005-0000-0000-000038000000}"/>
    <cellStyle name="常规 4" xfId="11" xr:uid="{00000000-0005-0000-0000-000039000000}"/>
    <cellStyle name="常规 40" xfId="12" xr:uid="{00000000-0005-0000-0000-00003A000000}"/>
    <cellStyle name="常规 5" xfId="13" xr:uid="{00000000-0005-0000-0000-00003B000000}"/>
    <cellStyle name="常规 6" xfId="14" xr:uid="{00000000-0005-0000-0000-00003C000000}"/>
    <cellStyle name="常规 8" xfId="15" xr:uid="{00000000-0005-0000-0000-00003D000000}"/>
    <cellStyle name="超链接" xfId="2" builtinId="8"/>
    <cellStyle name="超链接 2" xfId="16" xr:uid="{00000000-0005-0000-0000-00003E000000}"/>
    <cellStyle name="样式 1" xfId="17" xr:uid="{00000000-0005-0000-0000-00003F000000}"/>
  </cellStyles>
  <dxfs count="0"/>
  <tableStyles count="0" defaultTableStyle="TableStyleMedium9" defaultPivotStyle="PivotStyleLight16"/>
  <colors>
    <mruColors>
      <color rgb="FFF4F207"/>
      <color rgb="FFFFFF00"/>
      <color rgb="FFFF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75</xdr:row>
      <xdr:rowOff>0</xdr:rowOff>
    </xdr:from>
    <xdr:to>
      <xdr:col>12</xdr:col>
      <xdr:colOff>9525</xdr:colOff>
      <xdr:row>75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938000" y="11310620"/>
          <a:ext cx="9525" cy="9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13"/>
  <sheetViews>
    <sheetView tabSelected="1" view="pageBreakPreview" zoomScale="125" zoomScaleNormal="100" workbookViewId="0">
      <pane xSplit="2" ySplit="7" topLeftCell="C8" activePane="bottomRight" state="frozen"/>
      <selection pane="topRight"/>
      <selection pane="bottomLeft"/>
      <selection pane="bottomRight" activeCell="B13" sqref="B13"/>
    </sheetView>
  </sheetViews>
  <sheetFormatPr baseColWidth="10" defaultColWidth="9" defaultRowHeight="13"/>
  <cols>
    <col min="1" max="1" width="15.5" style="514" customWidth="1"/>
    <col min="2" max="2" width="42.1640625" style="218" customWidth="1"/>
    <col min="3" max="3" width="12.6640625" style="219" customWidth="1"/>
    <col min="4" max="5" width="8.33203125" style="219" customWidth="1"/>
    <col min="6" max="6" width="16.1640625" style="220" customWidth="1"/>
    <col min="7" max="7" width="9.5" style="219" customWidth="1"/>
    <col min="8" max="8" width="9.6640625" style="221" customWidth="1"/>
    <col min="9" max="9" width="9" style="222" customWidth="1"/>
    <col min="10" max="10" width="14.5" style="223" customWidth="1"/>
    <col min="11" max="13" width="9.5" style="224" customWidth="1"/>
    <col min="14" max="14" width="16.5" style="224" customWidth="1"/>
    <col min="15" max="17" width="9" style="224" customWidth="1"/>
    <col min="18" max="18" width="13.33203125" style="225" customWidth="1"/>
    <col min="19" max="19" width="31.83203125" style="224" customWidth="1"/>
    <col min="20" max="16384" width="9" style="224"/>
  </cols>
  <sheetData>
    <row r="1" spans="1:19" s="210" customFormat="1" ht="21" customHeight="1">
      <c r="A1" s="367" t="s">
        <v>0</v>
      </c>
      <c r="B1" s="368"/>
      <c r="C1" s="369"/>
      <c r="D1" s="369"/>
      <c r="E1" s="369"/>
      <c r="F1" s="369"/>
      <c r="G1" s="369"/>
      <c r="H1" s="369"/>
      <c r="I1" s="369"/>
      <c r="J1" s="370"/>
      <c r="K1" s="371" t="s">
        <v>1</v>
      </c>
      <c r="L1" s="369"/>
      <c r="M1" s="369"/>
      <c r="N1" s="369"/>
      <c r="O1" s="369"/>
      <c r="P1" s="369"/>
      <c r="Q1" s="369"/>
      <c r="R1" s="372"/>
      <c r="S1" s="373"/>
    </row>
    <row r="2" spans="1:19" s="210" customFormat="1" ht="24" customHeight="1">
      <c r="A2" s="511" t="s">
        <v>2</v>
      </c>
      <c r="B2" s="505" t="s">
        <v>295</v>
      </c>
      <c r="C2" s="226"/>
      <c r="D2" s="226"/>
      <c r="E2" s="227"/>
      <c r="F2" s="228" t="s">
        <v>3</v>
      </c>
      <c r="G2" s="357" t="s">
        <v>4</v>
      </c>
      <c r="H2" s="358"/>
      <c r="I2" s="358"/>
      <c r="J2" s="359"/>
      <c r="K2" s="374" t="s">
        <v>300</v>
      </c>
      <c r="L2" s="375"/>
      <c r="M2" s="375"/>
      <c r="N2" s="375"/>
      <c r="O2" s="375"/>
      <c r="P2" s="375"/>
      <c r="Q2" s="375"/>
      <c r="R2" s="376"/>
      <c r="S2" s="377"/>
    </row>
    <row r="3" spans="1:19" s="210" customFormat="1" ht="15" customHeight="1">
      <c r="A3" s="364" t="s">
        <v>5</v>
      </c>
      <c r="B3" s="507" t="s">
        <v>296</v>
      </c>
      <c r="C3" s="366"/>
      <c r="D3" s="366"/>
      <c r="E3" s="366"/>
      <c r="F3" s="229" t="s">
        <v>6</v>
      </c>
      <c r="G3" s="506" t="s">
        <v>297</v>
      </c>
      <c r="H3" s="358"/>
      <c r="I3" s="358"/>
      <c r="J3" s="359"/>
      <c r="K3" s="378" t="s">
        <v>7</v>
      </c>
      <c r="L3" s="378"/>
      <c r="M3" s="378"/>
      <c r="N3" s="378"/>
      <c r="O3" s="378"/>
      <c r="P3" s="378"/>
      <c r="Q3" s="378"/>
      <c r="R3" s="379"/>
      <c r="S3" s="380"/>
    </row>
    <row r="4" spans="1:19" s="210" customFormat="1" ht="15" customHeight="1">
      <c r="A4" s="364"/>
      <c r="B4" s="365"/>
      <c r="C4" s="366"/>
      <c r="D4" s="366"/>
      <c r="E4" s="366"/>
      <c r="F4" s="233" t="s">
        <v>8</v>
      </c>
      <c r="G4" s="508" t="s">
        <v>298</v>
      </c>
      <c r="H4" s="358"/>
      <c r="I4" s="358"/>
      <c r="J4" s="359"/>
      <c r="K4" s="230"/>
      <c r="L4" s="230"/>
      <c r="M4" s="230"/>
      <c r="N4" s="230"/>
      <c r="O4" s="230"/>
      <c r="P4" s="230"/>
      <c r="Q4" s="230"/>
      <c r="R4" s="231"/>
      <c r="S4" s="232"/>
    </row>
    <row r="5" spans="1:19" s="210" customFormat="1" ht="15" customHeight="1">
      <c r="A5" s="364"/>
      <c r="B5" s="234"/>
      <c r="C5" s="226"/>
      <c r="D5" s="226"/>
      <c r="E5" s="226"/>
      <c r="F5" s="233" t="s">
        <v>10</v>
      </c>
      <c r="G5" s="508" t="s">
        <v>299</v>
      </c>
      <c r="H5" s="358"/>
      <c r="I5" s="358"/>
      <c r="J5" s="359"/>
      <c r="K5" s="230"/>
      <c r="L5" s="230"/>
      <c r="M5" s="230"/>
      <c r="N5" s="230"/>
      <c r="O5" s="230"/>
      <c r="P5" s="230"/>
      <c r="Q5" s="230"/>
      <c r="R5" s="231"/>
      <c r="S5" s="232"/>
    </row>
    <row r="6" spans="1:19" s="211" customFormat="1" ht="15" customHeight="1">
      <c r="A6" s="360" t="s">
        <v>11</v>
      </c>
      <c r="B6" s="361"/>
      <c r="C6" s="356" t="s">
        <v>12</v>
      </c>
      <c r="D6" s="356"/>
      <c r="E6" s="356"/>
      <c r="F6" s="356"/>
      <c r="G6" s="356" t="s">
        <v>13</v>
      </c>
      <c r="H6" s="362"/>
      <c r="I6" s="362"/>
      <c r="J6" s="363"/>
      <c r="K6" s="356" t="s">
        <v>14</v>
      </c>
      <c r="L6" s="356"/>
      <c r="M6" s="356"/>
      <c r="N6" s="356"/>
      <c r="O6" s="356" t="s">
        <v>15</v>
      </c>
      <c r="P6" s="356"/>
      <c r="Q6" s="356"/>
      <c r="R6" s="386"/>
      <c r="S6" s="235" t="s">
        <v>16</v>
      </c>
    </row>
    <row r="7" spans="1:19" s="212" customFormat="1" ht="20.25" customHeight="1">
      <c r="A7" s="236" t="s">
        <v>17</v>
      </c>
      <c r="B7" s="237" t="s">
        <v>18</v>
      </c>
      <c r="C7" s="238" t="s">
        <v>19</v>
      </c>
      <c r="D7" s="239" t="s">
        <v>20</v>
      </c>
      <c r="E7" s="239" t="s">
        <v>21</v>
      </c>
      <c r="F7" s="240" t="s">
        <v>22</v>
      </c>
      <c r="G7" s="238" t="s">
        <v>19</v>
      </c>
      <c r="H7" s="241" t="s">
        <v>23</v>
      </c>
      <c r="I7" s="242" t="s">
        <v>24</v>
      </c>
      <c r="J7" s="243" t="s">
        <v>25</v>
      </c>
      <c r="K7" s="238" t="s">
        <v>26</v>
      </c>
      <c r="L7" s="239" t="s">
        <v>27</v>
      </c>
      <c r="M7" s="239" t="s">
        <v>28</v>
      </c>
      <c r="N7" s="244" t="s">
        <v>29</v>
      </c>
      <c r="O7" s="238" t="s">
        <v>26</v>
      </c>
      <c r="P7" s="245" t="s">
        <v>27</v>
      </c>
      <c r="Q7" s="245" t="s">
        <v>28</v>
      </c>
      <c r="R7" s="246" t="s">
        <v>30</v>
      </c>
      <c r="S7" s="247"/>
    </row>
    <row r="8" spans="1:19" s="213" customFormat="1" ht="14.25" customHeight="1">
      <c r="A8" s="248"/>
      <c r="B8" s="249"/>
      <c r="C8" s="250">
        <v>0</v>
      </c>
      <c r="D8" s="251">
        <v>1</v>
      </c>
      <c r="E8" s="251">
        <v>1</v>
      </c>
      <c r="F8" s="250">
        <f>C8*D8*E8</f>
        <v>0</v>
      </c>
      <c r="G8" s="250">
        <v>0</v>
      </c>
      <c r="H8" s="251">
        <v>1</v>
      </c>
      <c r="I8" s="251">
        <v>1</v>
      </c>
      <c r="J8" s="250">
        <f t="shared" ref="J8:J13" si="0">G8*H8*I8</f>
        <v>0</v>
      </c>
      <c r="K8" s="250"/>
      <c r="L8" s="252"/>
      <c r="M8" s="252"/>
      <c r="N8" s="252"/>
      <c r="O8" s="252"/>
      <c r="P8" s="252"/>
      <c r="Q8" s="252"/>
      <c r="R8" s="252"/>
      <c r="S8" s="253"/>
    </row>
    <row r="9" spans="1:19" s="213" customFormat="1" ht="14.25" customHeight="1">
      <c r="A9" s="248"/>
      <c r="B9" s="249"/>
      <c r="C9" s="250">
        <v>0</v>
      </c>
      <c r="D9" s="251">
        <v>1</v>
      </c>
      <c r="E9" s="251">
        <v>1</v>
      </c>
      <c r="F9" s="250">
        <f t="shared" ref="F9:F50" si="1">C9*D9*E9</f>
        <v>0</v>
      </c>
      <c r="G9" s="250">
        <v>0</v>
      </c>
      <c r="H9" s="251">
        <v>1</v>
      </c>
      <c r="I9" s="251">
        <v>1</v>
      </c>
      <c r="J9" s="250">
        <f t="shared" si="0"/>
        <v>0</v>
      </c>
      <c r="K9" s="250"/>
      <c r="L9" s="252"/>
      <c r="M9" s="252"/>
      <c r="N9" s="252"/>
      <c r="O9" s="252"/>
      <c r="P9" s="252"/>
      <c r="Q9" s="252"/>
      <c r="R9" s="252"/>
      <c r="S9" s="253"/>
    </row>
    <row r="10" spans="1:19" s="213" customFormat="1" ht="14.25" customHeight="1">
      <c r="A10" s="248"/>
      <c r="B10" s="347"/>
      <c r="C10" s="250">
        <v>0</v>
      </c>
      <c r="D10" s="251">
        <v>1</v>
      </c>
      <c r="E10" s="251">
        <v>1</v>
      </c>
      <c r="F10" s="250">
        <f t="shared" si="1"/>
        <v>0</v>
      </c>
      <c r="G10" s="250">
        <v>0</v>
      </c>
      <c r="H10" s="251">
        <v>1</v>
      </c>
      <c r="I10" s="251">
        <v>1</v>
      </c>
      <c r="J10" s="250">
        <f t="shared" si="0"/>
        <v>0</v>
      </c>
      <c r="K10" s="250"/>
      <c r="L10" s="252"/>
      <c r="M10" s="252"/>
      <c r="N10" s="252"/>
      <c r="O10" s="252"/>
      <c r="P10" s="252"/>
      <c r="Q10" s="252"/>
      <c r="R10" s="252"/>
      <c r="S10" s="253"/>
    </row>
    <row r="11" spans="1:19" s="213" customFormat="1" ht="14.25" customHeight="1">
      <c r="A11" s="248"/>
      <c r="B11" s="347"/>
      <c r="C11" s="250">
        <v>0</v>
      </c>
      <c r="D11" s="251">
        <v>1</v>
      </c>
      <c r="E11" s="251">
        <v>1</v>
      </c>
      <c r="F11" s="250">
        <f t="shared" si="1"/>
        <v>0</v>
      </c>
      <c r="G11" s="250">
        <v>0</v>
      </c>
      <c r="H11" s="251">
        <v>1</v>
      </c>
      <c r="I11" s="251">
        <v>1</v>
      </c>
      <c r="J11" s="250">
        <f t="shared" si="0"/>
        <v>0</v>
      </c>
      <c r="K11" s="250"/>
      <c r="L11" s="252"/>
      <c r="M11" s="252"/>
      <c r="N11" s="252"/>
      <c r="O11" s="252"/>
      <c r="P11" s="252"/>
      <c r="Q11" s="252"/>
      <c r="R11" s="252"/>
      <c r="S11" s="253"/>
    </row>
    <row r="12" spans="1:19" s="213" customFormat="1" ht="14.25" customHeight="1">
      <c r="A12" s="248"/>
      <c r="B12" s="249"/>
      <c r="C12" s="250">
        <v>0</v>
      </c>
      <c r="D12" s="251">
        <v>1</v>
      </c>
      <c r="E12" s="251">
        <v>1</v>
      </c>
      <c r="F12" s="250">
        <f t="shared" si="1"/>
        <v>0</v>
      </c>
      <c r="G12" s="250">
        <v>0</v>
      </c>
      <c r="H12" s="251">
        <v>1</v>
      </c>
      <c r="I12" s="251">
        <v>1</v>
      </c>
      <c r="J12" s="250">
        <f t="shared" si="0"/>
        <v>0</v>
      </c>
      <c r="K12" s="250"/>
      <c r="L12" s="252"/>
      <c r="M12" s="252"/>
      <c r="N12" s="252"/>
      <c r="O12" s="252"/>
      <c r="P12" s="252"/>
      <c r="Q12" s="252"/>
      <c r="R12" s="252"/>
      <c r="S12" s="253"/>
    </row>
    <row r="13" spans="1:19" s="213" customFormat="1" ht="14.25" customHeight="1">
      <c r="A13" s="248"/>
      <c r="B13" s="249"/>
      <c r="C13" s="250">
        <v>0</v>
      </c>
      <c r="D13" s="251">
        <v>1</v>
      </c>
      <c r="E13" s="251">
        <v>1</v>
      </c>
      <c r="F13" s="250">
        <f t="shared" si="1"/>
        <v>0</v>
      </c>
      <c r="G13" s="250">
        <v>0</v>
      </c>
      <c r="H13" s="251">
        <v>1</v>
      </c>
      <c r="I13" s="251">
        <v>1</v>
      </c>
      <c r="J13" s="250">
        <f t="shared" si="0"/>
        <v>0</v>
      </c>
      <c r="K13" s="250"/>
      <c r="L13" s="252"/>
      <c r="M13" s="252"/>
      <c r="N13" s="252"/>
      <c r="O13" s="252"/>
      <c r="P13" s="252"/>
      <c r="Q13" s="252"/>
      <c r="R13" s="252"/>
      <c r="S13" s="253"/>
    </row>
    <row r="14" spans="1:19" s="213" customFormat="1" ht="14.25" customHeight="1">
      <c r="A14" s="248"/>
      <c r="B14" s="249"/>
      <c r="C14" s="250">
        <v>0</v>
      </c>
      <c r="D14" s="251">
        <v>1</v>
      </c>
      <c r="E14" s="251">
        <v>1</v>
      </c>
      <c r="F14" s="250">
        <f t="shared" si="1"/>
        <v>0</v>
      </c>
      <c r="G14" s="250">
        <v>0</v>
      </c>
      <c r="H14" s="251">
        <v>1</v>
      </c>
      <c r="I14" s="251">
        <v>1</v>
      </c>
      <c r="J14" s="250">
        <f t="shared" ref="J14" si="2">G14*H14*I14</f>
        <v>0</v>
      </c>
      <c r="K14" s="250"/>
      <c r="L14" s="252"/>
      <c r="M14" s="252"/>
      <c r="N14" s="252"/>
      <c r="O14" s="252"/>
      <c r="P14" s="252"/>
      <c r="Q14" s="252"/>
      <c r="R14" s="252"/>
      <c r="S14" s="253"/>
    </row>
    <row r="15" spans="1:19" s="213" customFormat="1" ht="14.25" customHeight="1">
      <c r="A15" s="248"/>
      <c r="B15" s="249"/>
      <c r="C15" s="250">
        <v>0</v>
      </c>
      <c r="D15" s="251">
        <v>1</v>
      </c>
      <c r="E15" s="251">
        <v>1</v>
      </c>
      <c r="F15" s="250">
        <f t="shared" si="1"/>
        <v>0</v>
      </c>
      <c r="G15" s="250">
        <v>0</v>
      </c>
      <c r="H15" s="251">
        <v>1</v>
      </c>
      <c r="I15" s="251">
        <v>1</v>
      </c>
      <c r="J15" s="250">
        <f t="shared" ref="J15:J16" si="3">G15*H15*I15</f>
        <v>0</v>
      </c>
      <c r="K15" s="250"/>
      <c r="L15" s="252"/>
      <c r="M15" s="252"/>
      <c r="N15" s="252"/>
      <c r="O15" s="252"/>
      <c r="P15" s="252"/>
      <c r="Q15" s="252"/>
      <c r="R15" s="252"/>
      <c r="S15" s="253"/>
    </row>
    <row r="16" spans="1:19" customFormat="1" ht="15">
      <c r="A16" s="248"/>
      <c r="B16" s="249"/>
      <c r="C16" s="250">
        <v>0</v>
      </c>
      <c r="D16" s="251">
        <v>1</v>
      </c>
      <c r="E16" s="251">
        <v>1</v>
      </c>
      <c r="F16" s="250">
        <f t="shared" si="1"/>
        <v>0</v>
      </c>
      <c r="G16" s="250">
        <v>0</v>
      </c>
      <c r="H16" s="251">
        <v>1</v>
      </c>
      <c r="I16" s="251">
        <v>1</v>
      </c>
      <c r="J16" s="250">
        <f t="shared" si="3"/>
        <v>0</v>
      </c>
      <c r="K16" s="250"/>
      <c r="L16" s="262"/>
      <c r="M16" s="262"/>
      <c r="N16" s="263"/>
      <c r="O16" s="261"/>
      <c r="P16" s="262"/>
      <c r="Q16" s="262"/>
      <c r="R16" s="264"/>
      <c r="S16" s="256"/>
    </row>
    <row r="17" spans="1:19" customFormat="1" ht="15">
      <c r="A17" s="248"/>
      <c r="B17" s="249"/>
      <c r="C17" s="250">
        <v>0</v>
      </c>
      <c r="D17" s="251">
        <v>1</v>
      </c>
      <c r="E17" s="251">
        <v>1</v>
      </c>
      <c r="F17" s="250">
        <f t="shared" si="1"/>
        <v>0</v>
      </c>
      <c r="G17" s="250">
        <v>0</v>
      </c>
      <c r="H17" s="251">
        <v>1</v>
      </c>
      <c r="I17" s="251">
        <v>1</v>
      </c>
      <c r="J17" s="250">
        <f t="shared" ref="J17:J24" si="4">G17*H17*I17</f>
        <v>0</v>
      </c>
      <c r="K17" s="250"/>
      <c r="L17" s="262"/>
      <c r="M17" s="262"/>
      <c r="N17" s="263"/>
      <c r="O17" s="261"/>
      <c r="P17" s="262"/>
      <c r="Q17" s="262"/>
      <c r="R17" s="264"/>
      <c r="S17" s="256"/>
    </row>
    <row r="18" spans="1:19" customFormat="1" ht="15">
      <c r="A18" s="248"/>
      <c r="B18" s="249"/>
      <c r="C18" s="250">
        <v>0</v>
      </c>
      <c r="D18" s="251">
        <v>1</v>
      </c>
      <c r="E18" s="251">
        <v>1</v>
      </c>
      <c r="F18" s="250">
        <f t="shared" si="1"/>
        <v>0</v>
      </c>
      <c r="G18" s="250">
        <v>0</v>
      </c>
      <c r="H18" s="251">
        <v>1</v>
      </c>
      <c r="I18" s="251">
        <v>1</v>
      </c>
      <c r="J18" s="250">
        <f t="shared" si="4"/>
        <v>0</v>
      </c>
      <c r="K18" s="250"/>
      <c r="L18" s="262"/>
      <c r="M18" s="262"/>
      <c r="N18" s="263"/>
      <c r="O18" s="261"/>
      <c r="P18" s="262"/>
      <c r="Q18" s="262"/>
      <c r="R18" s="264"/>
      <c r="S18" s="257"/>
    </row>
    <row r="19" spans="1:19" s="213" customFormat="1" ht="14.25" customHeight="1">
      <c r="A19" s="248"/>
      <c r="B19" s="249"/>
      <c r="C19" s="250">
        <v>0</v>
      </c>
      <c r="D19" s="251">
        <v>1</v>
      </c>
      <c r="E19" s="251">
        <v>1</v>
      </c>
      <c r="F19" s="250">
        <f t="shared" si="1"/>
        <v>0</v>
      </c>
      <c r="G19" s="250">
        <v>0</v>
      </c>
      <c r="H19" s="251">
        <v>1</v>
      </c>
      <c r="I19" s="251">
        <v>1</v>
      </c>
      <c r="J19" s="250">
        <f t="shared" si="4"/>
        <v>0</v>
      </c>
      <c r="K19" s="250"/>
      <c r="L19" s="252"/>
      <c r="M19" s="252"/>
      <c r="N19" s="252"/>
      <c r="O19" s="252"/>
      <c r="P19" s="252"/>
      <c r="Q19" s="252"/>
      <c r="R19" s="252"/>
      <c r="S19" s="254"/>
    </row>
    <row r="20" spans="1:19" s="213" customFormat="1" ht="14.25" customHeight="1">
      <c r="A20" s="248"/>
      <c r="B20" s="249"/>
      <c r="C20" s="250">
        <v>0</v>
      </c>
      <c r="D20" s="251">
        <v>1</v>
      </c>
      <c r="E20" s="251">
        <v>1</v>
      </c>
      <c r="F20" s="250">
        <f t="shared" si="1"/>
        <v>0</v>
      </c>
      <c r="G20" s="250">
        <v>0</v>
      </c>
      <c r="H20" s="251">
        <v>1</v>
      </c>
      <c r="I20" s="251">
        <v>1</v>
      </c>
      <c r="J20" s="250">
        <f t="shared" si="4"/>
        <v>0</v>
      </c>
      <c r="K20" s="250"/>
      <c r="L20" s="252"/>
      <c r="M20" s="252"/>
      <c r="N20" s="252"/>
      <c r="O20" s="252"/>
      <c r="P20" s="252"/>
      <c r="Q20" s="252"/>
      <c r="R20" s="252"/>
      <c r="S20" s="253"/>
    </row>
    <row r="21" spans="1:19" s="213" customFormat="1" ht="14.25" customHeight="1">
      <c r="A21" s="248"/>
      <c r="B21" s="249"/>
      <c r="C21" s="250">
        <v>0</v>
      </c>
      <c r="D21" s="251">
        <v>1</v>
      </c>
      <c r="E21" s="251">
        <v>1</v>
      </c>
      <c r="F21" s="250">
        <f t="shared" si="1"/>
        <v>0</v>
      </c>
      <c r="G21" s="250">
        <v>0</v>
      </c>
      <c r="H21" s="251">
        <v>1</v>
      </c>
      <c r="I21" s="251">
        <v>1</v>
      </c>
      <c r="J21" s="250">
        <f t="shared" si="4"/>
        <v>0</v>
      </c>
      <c r="K21" s="250"/>
      <c r="L21" s="252"/>
      <c r="M21" s="252"/>
      <c r="N21" s="252"/>
      <c r="O21" s="252"/>
      <c r="P21" s="252"/>
      <c r="Q21" s="252"/>
      <c r="R21" s="252"/>
      <c r="S21" s="253"/>
    </row>
    <row r="22" spans="1:19" s="213" customFormat="1" ht="14.25" customHeight="1">
      <c r="A22" s="248"/>
      <c r="B22" s="249"/>
      <c r="C22" s="250">
        <v>0</v>
      </c>
      <c r="D22" s="251">
        <v>1</v>
      </c>
      <c r="E22" s="251">
        <v>1</v>
      </c>
      <c r="F22" s="250">
        <f t="shared" si="1"/>
        <v>0</v>
      </c>
      <c r="G22" s="250">
        <v>0</v>
      </c>
      <c r="H22" s="251">
        <v>1</v>
      </c>
      <c r="I22" s="251">
        <v>1</v>
      </c>
      <c r="J22" s="260">
        <f t="shared" si="4"/>
        <v>0</v>
      </c>
      <c r="K22" s="250"/>
      <c r="L22" s="252"/>
      <c r="M22" s="252"/>
      <c r="N22" s="252"/>
      <c r="O22" s="252"/>
      <c r="P22" s="252"/>
      <c r="Q22" s="252"/>
      <c r="R22" s="252"/>
      <c r="S22" s="253"/>
    </row>
    <row r="23" spans="1:19" s="213" customFormat="1" ht="14.25" customHeight="1">
      <c r="A23" s="248"/>
      <c r="B23" s="249"/>
      <c r="C23" s="250">
        <v>0</v>
      </c>
      <c r="D23" s="251">
        <v>1</v>
      </c>
      <c r="E23" s="251">
        <v>1</v>
      </c>
      <c r="F23" s="250">
        <f t="shared" si="1"/>
        <v>0</v>
      </c>
      <c r="G23" s="250">
        <v>0</v>
      </c>
      <c r="H23" s="251">
        <v>1</v>
      </c>
      <c r="I23" s="251">
        <v>1</v>
      </c>
      <c r="J23" s="260">
        <f t="shared" si="4"/>
        <v>0</v>
      </c>
      <c r="K23" s="250"/>
      <c r="L23" s="252"/>
      <c r="M23" s="252"/>
      <c r="N23" s="252"/>
      <c r="O23" s="252"/>
      <c r="P23" s="252"/>
      <c r="Q23" s="252"/>
      <c r="R23" s="252"/>
      <c r="S23" s="253"/>
    </row>
    <row r="24" spans="1:19" customFormat="1" ht="15">
      <c r="A24" s="248"/>
      <c r="B24" s="249"/>
      <c r="C24" s="250">
        <v>0</v>
      </c>
      <c r="D24" s="251">
        <v>1</v>
      </c>
      <c r="E24" s="251">
        <v>1</v>
      </c>
      <c r="F24" s="250">
        <f t="shared" si="1"/>
        <v>0</v>
      </c>
      <c r="G24" s="250">
        <v>0</v>
      </c>
      <c r="H24" s="251">
        <v>1</v>
      </c>
      <c r="I24" s="251">
        <v>1</v>
      </c>
      <c r="J24" s="260">
        <f t="shared" si="4"/>
        <v>0</v>
      </c>
      <c r="K24" s="250"/>
      <c r="L24" s="262"/>
      <c r="M24" s="262"/>
      <c r="N24" s="263"/>
      <c r="O24" s="261"/>
      <c r="P24" s="262"/>
      <c r="Q24" s="262"/>
      <c r="R24" s="264"/>
      <c r="S24" s="256"/>
    </row>
    <row r="25" spans="1:19" customFormat="1" ht="15">
      <c r="A25" s="248"/>
      <c r="B25" s="249"/>
      <c r="C25" s="250">
        <v>0</v>
      </c>
      <c r="D25" s="251">
        <v>1</v>
      </c>
      <c r="E25" s="251">
        <v>1</v>
      </c>
      <c r="F25" s="250">
        <f t="shared" si="1"/>
        <v>0</v>
      </c>
      <c r="G25" s="250">
        <v>0</v>
      </c>
      <c r="H25" s="251">
        <v>1</v>
      </c>
      <c r="I25" s="251">
        <v>1</v>
      </c>
      <c r="J25" s="260">
        <f t="shared" ref="J25:J60" si="5">G25*H25*I25</f>
        <v>0</v>
      </c>
      <c r="K25" s="250"/>
      <c r="L25" s="262"/>
      <c r="M25" s="262"/>
      <c r="N25" s="263"/>
      <c r="O25" s="261"/>
      <c r="P25" s="262"/>
      <c r="Q25" s="262"/>
      <c r="R25" s="264"/>
      <c r="S25" s="265"/>
    </row>
    <row r="26" spans="1:19" customFormat="1" ht="15">
      <c r="A26" s="248"/>
      <c r="B26" s="249"/>
      <c r="C26" s="250">
        <v>0</v>
      </c>
      <c r="D26" s="251">
        <v>1</v>
      </c>
      <c r="E26" s="251">
        <v>1</v>
      </c>
      <c r="F26" s="250">
        <f t="shared" si="1"/>
        <v>0</v>
      </c>
      <c r="G26" s="250">
        <v>0</v>
      </c>
      <c r="H26" s="251">
        <v>1</v>
      </c>
      <c r="I26" s="251">
        <v>1</v>
      </c>
      <c r="J26" s="260">
        <f t="shared" si="5"/>
        <v>0</v>
      </c>
      <c r="K26" s="250"/>
      <c r="L26" s="262"/>
      <c r="M26" s="262"/>
      <c r="N26" s="263"/>
      <c r="O26" s="261"/>
      <c r="P26" s="262"/>
      <c r="Q26" s="262"/>
      <c r="R26" s="264"/>
      <c r="S26" s="265"/>
    </row>
    <row r="27" spans="1:19" customFormat="1" ht="15">
      <c r="A27" s="248"/>
      <c r="B27" s="249"/>
      <c r="C27" s="250">
        <v>0</v>
      </c>
      <c r="D27" s="251">
        <v>1</v>
      </c>
      <c r="E27" s="251">
        <v>1</v>
      </c>
      <c r="F27" s="250">
        <f t="shared" si="1"/>
        <v>0</v>
      </c>
      <c r="G27" s="250">
        <v>0</v>
      </c>
      <c r="H27" s="251">
        <v>1</v>
      </c>
      <c r="I27" s="251">
        <v>1</v>
      </c>
      <c r="J27" s="260">
        <f t="shared" si="5"/>
        <v>0</v>
      </c>
      <c r="K27" s="250"/>
      <c r="L27" s="262"/>
      <c r="M27" s="262"/>
      <c r="N27" s="263"/>
      <c r="O27" s="261"/>
      <c r="P27" s="262"/>
      <c r="Q27" s="262"/>
      <c r="R27" s="264"/>
      <c r="S27" s="265"/>
    </row>
    <row r="28" spans="1:19" customFormat="1" ht="15">
      <c r="A28" s="248"/>
      <c r="B28" s="249"/>
      <c r="C28" s="250">
        <v>0</v>
      </c>
      <c r="D28" s="251">
        <v>1</v>
      </c>
      <c r="E28" s="251">
        <v>1</v>
      </c>
      <c r="F28" s="250">
        <f t="shared" si="1"/>
        <v>0</v>
      </c>
      <c r="G28" s="250">
        <v>0</v>
      </c>
      <c r="H28" s="251">
        <v>1</v>
      </c>
      <c r="I28" s="251">
        <v>1</v>
      </c>
      <c r="J28" s="260">
        <f t="shared" si="5"/>
        <v>0</v>
      </c>
      <c r="K28" s="250"/>
      <c r="L28" s="262"/>
      <c r="M28" s="262"/>
      <c r="N28" s="263"/>
      <c r="O28" s="261"/>
      <c r="P28" s="262"/>
      <c r="Q28" s="262"/>
      <c r="R28" s="264"/>
      <c r="S28" s="265"/>
    </row>
    <row r="29" spans="1:19" customFormat="1" ht="15">
      <c r="A29" s="248"/>
      <c r="B29" s="249"/>
      <c r="C29" s="250">
        <v>0</v>
      </c>
      <c r="D29" s="251">
        <v>1</v>
      </c>
      <c r="E29" s="251">
        <v>1</v>
      </c>
      <c r="F29" s="250">
        <f t="shared" si="1"/>
        <v>0</v>
      </c>
      <c r="G29" s="250">
        <v>0</v>
      </c>
      <c r="H29" s="251">
        <v>1</v>
      </c>
      <c r="I29" s="251">
        <v>1</v>
      </c>
      <c r="J29" s="260">
        <f t="shared" si="5"/>
        <v>0</v>
      </c>
      <c r="K29" s="250"/>
      <c r="L29" s="262"/>
      <c r="M29" s="262"/>
      <c r="N29" s="263"/>
      <c r="O29" s="261"/>
      <c r="P29" s="262"/>
      <c r="Q29" s="262"/>
      <c r="R29" s="264"/>
      <c r="S29" s="265"/>
    </row>
    <row r="30" spans="1:19" customFormat="1" ht="15">
      <c r="A30" s="248"/>
      <c r="B30" s="249"/>
      <c r="C30" s="250">
        <v>0</v>
      </c>
      <c r="D30" s="251">
        <v>1</v>
      </c>
      <c r="E30" s="251">
        <v>1</v>
      </c>
      <c r="F30" s="250">
        <f t="shared" si="1"/>
        <v>0</v>
      </c>
      <c r="G30" s="250">
        <v>0</v>
      </c>
      <c r="H30" s="251">
        <v>1</v>
      </c>
      <c r="I30" s="251">
        <v>1</v>
      </c>
      <c r="J30" s="260">
        <f t="shared" si="5"/>
        <v>0</v>
      </c>
      <c r="K30" s="250"/>
      <c r="L30" s="262"/>
      <c r="M30" s="262"/>
      <c r="N30" s="263"/>
      <c r="O30" s="261"/>
      <c r="P30" s="262"/>
      <c r="Q30" s="262"/>
      <c r="R30" s="264"/>
      <c r="S30" s="265"/>
    </row>
    <row r="31" spans="1:19" customFormat="1" ht="15">
      <c r="A31" s="248"/>
      <c r="B31" s="249"/>
      <c r="C31" s="250">
        <v>0</v>
      </c>
      <c r="D31" s="251">
        <v>1</v>
      </c>
      <c r="E31" s="251">
        <v>1</v>
      </c>
      <c r="F31" s="250">
        <f t="shared" si="1"/>
        <v>0</v>
      </c>
      <c r="G31" s="250">
        <v>0</v>
      </c>
      <c r="H31" s="251">
        <v>1</v>
      </c>
      <c r="I31" s="251">
        <v>1</v>
      </c>
      <c r="J31" s="260">
        <f t="shared" si="5"/>
        <v>0</v>
      </c>
      <c r="K31" s="250"/>
      <c r="L31" s="262"/>
      <c r="M31" s="262"/>
      <c r="N31" s="263"/>
      <c r="O31" s="261"/>
      <c r="P31" s="262"/>
      <c r="Q31" s="262"/>
      <c r="R31" s="264"/>
      <c r="S31" s="265"/>
    </row>
    <row r="32" spans="1:19" customFormat="1" ht="15">
      <c r="A32" s="248"/>
      <c r="B32" s="249"/>
      <c r="C32" s="250">
        <v>0</v>
      </c>
      <c r="D32" s="251">
        <v>1</v>
      </c>
      <c r="E32" s="251">
        <v>1</v>
      </c>
      <c r="F32" s="250">
        <f t="shared" si="1"/>
        <v>0</v>
      </c>
      <c r="G32" s="250">
        <v>0</v>
      </c>
      <c r="H32" s="251">
        <v>1</v>
      </c>
      <c r="I32" s="251">
        <v>1</v>
      </c>
      <c r="J32" s="260">
        <f t="shared" si="5"/>
        <v>0</v>
      </c>
      <c r="K32" s="250"/>
      <c r="L32" s="262"/>
      <c r="M32" s="262"/>
      <c r="N32" s="263"/>
      <c r="O32" s="261"/>
      <c r="P32" s="262"/>
      <c r="Q32" s="262"/>
      <c r="R32" s="264"/>
      <c r="S32" s="265"/>
    </row>
    <row r="33" spans="1:19" customFormat="1" ht="15">
      <c r="A33" s="248"/>
      <c r="B33" s="249"/>
      <c r="C33" s="250">
        <v>0</v>
      </c>
      <c r="D33" s="251">
        <v>1</v>
      </c>
      <c r="E33" s="251">
        <v>1</v>
      </c>
      <c r="F33" s="250">
        <f t="shared" si="1"/>
        <v>0</v>
      </c>
      <c r="G33" s="250">
        <v>0</v>
      </c>
      <c r="H33" s="251">
        <v>1</v>
      </c>
      <c r="I33" s="251">
        <v>1</v>
      </c>
      <c r="J33" s="250">
        <f t="shared" si="5"/>
        <v>0</v>
      </c>
      <c r="K33" s="250"/>
      <c r="L33" s="262"/>
      <c r="M33" s="262"/>
      <c r="N33" s="263"/>
      <c r="O33" s="261"/>
      <c r="P33" s="262"/>
      <c r="Q33" s="262"/>
      <c r="R33" s="264"/>
      <c r="S33" s="266"/>
    </row>
    <row r="34" spans="1:19" customFormat="1" ht="15">
      <c r="A34" s="248"/>
      <c r="B34" s="249"/>
      <c r="C34" s="250">
        <v>0</v>
      </c>
      <c r="D34" s="251">
        <v>1</v>
      </c>
      <c r="E34" s="251">
        <v>1</v>
      </c>
      <c r="F34" s="250">
        <f t="shared" si="1"/>
        <v>0</v>
      </c>
      <c r="G34" s="250">
        <v>0</v>
      </c>
      <c r="H34" s="251">
        <v>1</v>
      </c>
      <c r="I34" s="251">
        <v>1</v>
      </c>
      <c r="J34" s="250">
        <f t="shared" si="5"/>
        <v>0</v>
      </c>
      <c r="K34" s="250"/>
      <c r="L34" s="262"/>
      <c r="M34" s="262"/>
      <c r="N34" s="263"/>
      <c r="O34" s="261"/>
      <c r="P34" s="262"/>
      <c r="Q34" s="262"/>
      <c r="R34" s="264"/>
      <c r="S34" s="266"/>
    </row>
    <row r="35" spans="1:19" customFormat="1" ht="15">
      <c r="A35" s="248"/>
      <c r="B35" s="249"/>
      <c r="C35" s="250">
        <v>0</v>
      </c>
      <c r="D35" s="251">
        <v>1</v>
      </c>
      <c r="E35" s="251">
        <v>1</v>
      </c>
      <c r="F35" s="250">
        <f t="shared" si="1"/>
        <v>0</v>
      </c>
      <c r="G35" s="250">
        <v>0</v>
      </c>
      <c r="H35" s="251">
        <v>1</v>
      </c>
      <c r="I35" s="251">
        <v>1</v>
      </c>
      <c r="J35" s="250">
        <f t="shared" si="5"/>
        <v>0</v>
      </c>
      <c r="K35" s="250"/>
      <c r="L35" s="262"/>
      <c r="M35" s="262"/>
      <c r="N35" s="263"/>
      <c r="O35" s="261"/>
      <c r="P35" s="262"/>
      <c r="Q35" s="262"/>
      <c r="R35" s="264"/>
      <c r="S35" s="266"/>
    </row>
    <row r="36" spans="1:19" customFormat="1" ht="15">
      <c r="A36" s="248"/>
      <c r="B36" s="249"/>
      <c r="C36" s="250">
        <v>0</v>
      </c>
      <c r="D36" s="251">
        <v>1</v>
      </c>
      <c r="E36" s="251">
        <v>1</v>
      </c>
      <c r="F36" s="250">
        <f t="shared" si="1"/>
        <v>0</v>
      </c>
      <c r="G36" s="250">
        <v>0</v>
      </c>
      <c r="H36" s="251">
        <v>1</v>
      </c>
      <c r="I36" s="251">
        <v>1</v>
      </c>
      <c r="J36" s="250">
        <f t="shared" si="5"/>
        <v>0</v>
      </c>
      <c r="K36" s="250"/>
      <c r="L36" s="262"/>
      <c r="M36" s="262"/>
      <c r="N36" s="263"/>
      <c r="O36" s="261"/>
      <c r="P36" s="262"/>
      <c r="Q36" s="262"/>
      <c r="R36" s="264"/>
      <c r="S36" s="266"/>
    </row>
    <row r="37" spans="1:19" customFormat="1" ht="15">
      <c r="A37" s="248"/>
      <c r="B37" s="249"/>
      <c r="C37" s="250">
        <v>0</v>
      </c>
      <c r="D37" s="251">
        <v>1</v>
      </c>
      <c r="E37" s="251">
        <v>1</v>
      </c>
      <c r="F37" s="250">
        <f t="shared" si="1"/>
        <v>0</v>
      </c>
      <c r="G37" s="250">
        <v>0</v>
      </c>
      <c r="H37" s="251">
        <v>1</v>
      </c>
      <c r="I37" s="251">
        <v>1</v>
      </c>
      <c r="J37" s="250">
        <f t="shared" si="5"/>
        <v>0</v>
      </c>
      <c r="K37" s="250"/>
      <c r="L37" s="262"/>
      <c r="M37" s="262"/>
      <c r="N37" s="263"/>
      <c r="O37" s="261"/>
      <c r="P37" s="262"/>
      <c r="Q37" s="262"/>
      <c r="R37" s="264"/>
      <c r="S37" s="266"/>
    </row>
    <row r="38" spans="1:19" customFormat="1" ht="15">
      <c r="A38" s="248"/>
      <c r="B38" s="249"/>
      <c r="C38" s="250">
        <v>0</v>
      </c>
      <c r="D38" s="251">
        <v>1</v>
      </c>
      <c r="E38" s="251">
        <v>1</v>
      </c>
      <c r="F38" s="250">
        <f t="shared" si="1"/>
        <v>0</v>
      </c>
      <c r="G38" s="250">
        <v>0</v>
      </c>
      <c r="H38" s="251">
        <v>1</v>
      </c>
      <c r="I38" s="251">
        <v>1</v>
      </c>
      <c r="J38" s="250">
        <f t="shared" si="5"/>
        <v>0</v>
      </c>
      <c r="K38" s="250"/>
      <c r="L38" s="262"/>
      <c r="M38" s="262"/>
      <c r="N38" s="263"/>
      <c r="O38" s="261"/>
      <c r="P38" s="262"/>
      <c r="Q38" s="262"/>
      <c r="R38" s="264"/>
      <c r="S38" s="266"/>
    </row>
    <row r="39" spans="1:19" customFormat="1" ht="15">
      <c r="A39" s="248"/>
      <c r="B39" s="249"/>
      <c r="C39" s="250">
        <v>0</v>
      </c>
      <c r="D39" s="251">
        <v>1</v>
      </c>
      <c r="E39" s="251">
        <v>1</v>
      </c>
      <c r="F39" s="250">
        <f t="shared" si="1"/>
        <v>0</v>
      </c>
      <c r="G39" s="250">
        <v>0</v>
      </c>
      <c r="H39" s="251">
        <v>1</v>
      </c>
      <c r="I39" s="251">
        <v>1</v>
      </c>
      <c r="J39" s="250">
        <f t="shared" si="5"/>
        <v>0</v>
      </c>
      <c r="K39" s="250"/>
      <c r="L39" s="262"/>
      <c r="M39" s="262"/>
      <c r="N39" s="263"/>
      <c r="O39" s="261"/>
      <c r="P39" s="262"/>
      <c r="Q39" s="262"/>
      <c r="R39" s="264"/>
      <c r="S39" s="266"/>
    </row>
    <row r="40" spans="1:19" customFormat="1" ht="15">
      <c r="A40" s="248"/>
      <c r="B40" s="249"/>
      <c r="C40" s="250">
        <v>0</v>
      </c>
      <c r="D40" s="251">
        <v>1</v>
      </c>
      <c r="E40" s="251">
        <v>1</v>
      </c>
      <c r="F40" s="250">
        <f t="shared" si="1"/>
        <v>0</v>
      </c>
      <c r="G40" s="250">
        <v>0</v>
      </c>
      <c r="H40" s="251">
        <v>1</v>
      </c>
      <c r="I40" s="251">
        <v>1</v>
      </c>
      <c r="J40" s="250">
        <f t="shared" si="5"/>
        <v>0</v>
      </c>
      <c r="K40" s="250"/>
      <c r="L40" s="262"/>
      <c r="M40" s="262"/>
      <c r="N40" s="263"/>
      <c r="O40" s="261"/>
      <c r="P40" s="262"/>
      <c r="Q40" s="262"/>
      <c r="R40" s="264"/>
      <c r="S40" s="266"/>
    </row>
    <row r="41" spans="1:19" customFormat="1" ht="15">
      <c r="A41" s="248"/>
      <c r="B41" s="249"/>
      <c r="C41" s="250">
        <v>0</v>
      </c>
      <c r="D41" s="251">
        <v>1</v>
      </c>
      <c r="E41" s="251">
        <v>1</v>
      </c>
      <c r="F41" s="250">
        <f t="shared" si="1"/>
        <v>0</v>
      </c>
      <c r="G41" s="250">
        <v>0</v>
      </c>
      <c r="H41" s="251">
        <v>1</v>
      </c>
      <c r="I41" s="251">
        <v>1</v>
      </c>
      <c r="J41" s="250">
        <f t="shared" si="5"/>
        <v>0</v>
      </c>
      <c r="K41" s="250"/>
      <c r="L41" s="262"/>
      <c r="M41" s="262"/>
      <c r="N41" s="263"/>
      <c r="O41" s="261"/>
      <c r="P41" s="262"/>
      <c r="Q41" s="262"/>
      <c r="R41" s="264"/>
      <c r="S41" s="266"/>
    </row>
    <row r="42" spans="1:19" customFormat="1" ht="15">
      <c r="A42" s="248"/>
      <c r="B42" s="249"/>
      <c r="C42" s="250">
        <v>0</v>
      </c>
      <c r="D42" s="251">
        <v>1</v>
      </c>
      <c r="E42" s="251">
        <v>1</v>
      </c>
      <c r="F42" s="250">
        <f t="shared" si="1"/>
        <v>0</v>
      </c>
      <c r="G42" s="250">
        <v>0</v>
      </c>
      <c r="H42" s="251">
        <v>1</v>
      </c>
      <c r="I42" s="251">
        <v>1</v>
      </c>
      <c r="J42" s="250">
        <f t="shared" si="5"/>
        <v>0</v>
      </c>
      <c r="K42" s="250"/>
      <c r="L42" s="262"/>
      <c r="M42" s="262"/>
      <c r="N42" s="263"/>
      <c r="O42" s="261"/>
      <c r="P42" s="262"/>
      <c r="Q42" s="262"/>
      <c r="R42" s="264"/>
      <c r="S42" s="266"/>
    </row>
    <row r="43" spans="1:19" customFormat="1" ht="15">
      <c r="A43" s="248"/>
      <c r="B43" s="249"/>
      <c r="C43" s="250">
        <v>0</v>
      </c>
      <c r="D43" s="251">
        <v>1</v>
      </c>
      <c r="E43" s="251">
        <v>1</v>
      </c>
      <c r="F43" s="250">
        <f t="shared" si="1"/>
        <v>0</v>
      </c>
      <c r="G43" s="250">
        <v>0</v>
      </c>
      <c r="H43" s="251">
        <v>1</v>
      </c>
      <c r="I43" s="251">
        <v>1</v>
      </c>
      <c r="J43" s="250">
        <f t="shared" si="5"/>
        <v>0</v>
      </c>
      <c r="K43" s="250"/>
      <c r="L43" s="262"/>
      <c r="M43" s="262"/>
      <c r="N43" s="263"/>
      <c r="O43" s="261"/>
      <c r="P43" s="262"/>
      <c r="Q43" s="262"/>
      <c r="R43" s="264"/>
      <c r="S43" s="266"/>
    </row>
    <row r="44" spans="1:19" customFormat="1" ht="15">
      <c r="A44" s="248"/>
      <c r="B44" s="249"/>
      <c r="C44" s="250">
        <v>0</v>
      </c>
      <c r="D44" s="251">
        <v>1</v>
      </c>
      <c r="E44" s="251">
        <v>1</v>
      </c>
      <c r="F44" s="250">
        <f t="shared" si="1"/>
        <v>0</v>
      </c>
      <c r="G44" s="250">
        <v>0</v>
      </c>
      <c r="H44" s="251">
        <v>1</v>
      </c>
      <c r="I44" s="251">
        <v>1</v>
      </c>
      <c r="J44" s="250">
        <f t="shared" si="5"/>
        <v>0</v>
      </c>
      <c r="K44" s="250"/>
      <c r="L44" s="262"/>
      <c r="M44" s="262"/>
      <c r="N44" s="263"/>
      <c r="O44" s="261"/>
      <c r="P44" s="262"/>
      <c r="Q44" s="262"/>
      <c r="R44" s="264"/>
      <c r="S44" s="266"/>
    </row>
    <row r="45" spans="1:19" customFormat="1" ht="15">
      <c r="A45" s="248"/>
      <c r="B45" s="249"/>
      <c r="C45" s="250">
        <v>0</v>
      </c>
      <c r="D45" s="251">
        <v>1</v>
      </c>
      <c r="E45" s="251">
        <v>1</v>
      </c>
      <c r="F45" s="250">
        <f t="shared" si="1"/>
        <v>0</v>
      </c>
      <c r="G45" s="250">
        <v>0</v>
      </c>
      <c r="H45" s="251">
        <v>1</v>
      </c>
      <c r="I45" s="251">
        <v>1</v>
      </c>
      <c r="J45" s="250">
        <f t="shared" si="5"/>
        <v>0</v>
      </c>
      <c r="K45" s="250"/>
      <c r="L45" s="262"/>
      <c r="M45" s="262"/>
      <c r="N45" s="263"/>
      <c r="O45" s="261"/>
      <c r="P45" s="262"/>
      <c r="Q45" s="262"/>
      <c r="R45" s="264"/>
      <c r="S45" s="266"/>
    </row>
    <row r="46" spans="1:19" customFormat="1" ht="15">
      <c r="A46" s="248"/>
      <c r="B46" s="249"/>
      <c r="C46" s="250">
        <v>0</v>
      </c>
      <c r="D46" s="251">
        <v>1</v>
      </c>
      <c r="E46" s="251">
        <v>1</v>
      </c>
      <c r="F46" s="250">
        <f t="shared" si="1"/>
        <v>0</v>
      </c>
      <c r="G46" s="250">
        <v>0</v>
      </c>
      <c r="H46" s="251">
        <v>1</v>
      </c>
      <c r="I46" s="251">
        <v>1</v>
      </c>
      <c r="J46" s="250">
        <f t="shared" si="5"/>
        <v>0</v>
      </c>
      <c r="K46" s="250"/>
      <c r="L46" s="262"/>
      <c r="M46" s="262"/>
      <c r="N46" s="263"/>
      <c r="O46" s="261"/>
      <c r="P46" s="262"/>
      <c r="Q46" s="262"/>
      <c r="R46" s="264"/>
      <c r="S46" s="266"/>
    </row>
    <row r="47" spans="1:19" customFormat="1" ht="15">
      <c r="A47" s="248"/>
      <c r="B47" s="249"/>
      <c r="C47" s="250">
        <v>0</v>
      </c>
      <c r="D47" s="251">
        <v>1</v>
      </c>
      <c r="E47" s="251">
        <v>1</v>
      </c>
      <c r="F47" s="250">
        <f t="shared" si="1"/>
        <v>0</v>
      </c>
      <c r="G47" s="250">
        <v>0</v>
      </c>
      <c r="H47" s="251">
        <v>1</v>
      </c>
      <c r="I47" s="251">
        <v>1</v>
      </c>
      <c r="J47" s="250">
        <f t="shared" si="5"/>
        <v>0</v>
      </c>
      <c r="K47" s="250"/>
      <c r="L47" s="262"/>
      <c r="M47" s="262"/>
      <c r="N47" s="263"/>
      <c r="O47" s="261"/>
      <c r="P47" s="262"/>
      <c r="Q47" s="262"/>
      <c r="R47" s="264"/>
      <c r="S47" s="257"/>
    </row>
    <row r="48" spans="1:19" customFormat="1" ht="15">
      <c r="A48" s="248"/>
      <c r="B48" s="249"/>
      <c r="C48" s="250">
        <v>0</v>
      </c>
      <c r="D48" s="251">
        <v>1</v>
      </c>
      <c r="E48" s="251">
        <v>1</v>
      </c>
      <c r="F48" s="250">
        <f t="shared" si="1"/>
        <v>0</v>
      </c>
      <c r="G48" s="250">
        <v>0</v>
      </c>
      <c r="H48" s="251">
        <v>1</v>
      </c>
      <c r="I48" s="251">
        <v>1</v>
      </c>
      <c r="J48" s="250">
        <f t="shared" si="5"/>
        <v>0</v>
      </c>
      <c r="K48" s="250"/>
      <c r="L48" s="262"/>
      <c r="M48" s="262"/>
      <c r="N48" s="263"/>
      <c r="O48" s="261"/>
      <c r="P48" s="262"/>
      <c r="Q48" s="262"/>
      <c r="R48" s="264"/>
      <c r="S48" s="257"/>
    </row>
    <row r="49" spans="1:19" customFormat="1" ht="15">
      <c r="A49" s="248"/>
      <c r="B49" s="249"/>
      <c r="C49" s="250">
        <v>0</v>
      </c>
      <c r="D49" s="251">
        <v>1</v>
      </c>
      <c r="E49" s="251">
        <v>1</v>
      </c>
      <c r="F49" s="250">
        <f t="shared" si="1"/>
        <v>0</v>
      </c>
      <c r="G49" s="250">
        <v>0</v>
      </c>
      <c r="H49" s="251">
        <v>1</v>
      </c>
      <c r="I49" s="251">
        <v>1</v>
      </c>
      <c r="J49" s="250">
        <f t="shared" si="5"/>
        <v>0</v>
      </c>
      <c r="K49" s="250"/>
      <c r="L49" s="262"/>
      <c r="M49" s="262"/>
      <c r="N49" s="263"/>
      <c r="O49" s="261"/>
      <c r="P49" s="262"/>
      <c r="Q49" s="262"/>
      <c r="R49" s="264"/>
      <c r="S49" s="257"/>
    </row>
    <row r="50" spans="1:19" customFormat="1" ht="15">
      <c r="A50" s="248"/>
      <c r="B50" s="249"/>
      <c r="C50" s="250">
        <v>0</v>
      </c>
      <c r="D50" s="251">
        <v>1</v>
      </c>
      <c r="E50" s="251">
        <v>1</v>
      </c>
      <c r="F50" s="250">
        <f t="shared" si="1"/>
        <v>0</v>
      </c>
      <c r="G50" s="250">
        <v>0</v>
      </c>
      <c r="H50" s="251">
        <v>1</v>
      </c>
      <c r="I50" s="251">
        <v>1</v>
      </c>
      <c r="J50" s="250">
        <f t="shared" si="5"/>
        <v>0</v>
      </c>
      <c r="K50" s="250"/>
      <c r="L50" s="262"/>
      <c r="M50" s="262"/>
      <c r="N50" s="263"/>
      <c r="O50" s="261"/>
      <c r="P50" s="262"/>
      <c r="Q50" s="262"/>
      <c r="R50" s="264"/>
      <c r="S50" s="257"/>
    </row>
    <row r="51" spans="1:19" customFormat="1" ht="15">
      <c r="A51" s="248"/>
      <c r="B51" s="249"/>
      <c r="C51" s="250">
        <v>0</v>
      </c>
      <c r="D51" s="251">
        <v>1</v>
      </c>
      <c r="E51" s="251">
        <v>1</v>
      </c>
      <c r="F51" s="250">
        <f t="shared" ref="F51:F54" si="6">C51*D51*E51</f>
        <v>0</v>
      </c>
      <c r="G51" s="250">
        <v>0</v>
      </c>
      <c r="H51" s="251">
        <v>1</v>
      </c>
      <c r="I51" s="251">
        <v>1</v>
      </c>
      <c r="J51" s="250">
        <f t="shared" si="5"/>
        <v>0</v>
      </c>
      <c r="K51" s="250"/>
      <c r="L51" s="262"/>
      <c r="M51" s="262"/>
      <c r="N51" s="263"/>
      <c r="O51" s="261"/>
      <c r="P51" s="262"/>
      <c r="Q51" s="262"/>
      <c r="R51" s="264"/>
      <c r="S51" s="257"/>
    </row>
    <row r="52" spans="1:19" customFormat="1" ht="15">
      <c r="A52" s="248"/>
      <c r="B52" s="249"/>
      <c r="C52" s="250">
        <v>0</v>
      </c>
      <c r="D52" s="251">
        <v>1</v>
      </c>
      <c r="E52" s="251">
        <v>1</v>
      </c>
      <c r="F52" s="250">
        <f>C52*D52*E52</f>
        <v>0</v>
      </c>
      <c r="G52" s="250">
        <v>0</v>
      </c>
      <c r="H52" s="251">
        <v>1</v>
      </c>
      <c r="I52" s="251">
        <v>1</v>
      </c>
      <c r="J52" s="250">
        <f t="shared" si="5"/>
        <v>0</v>
      </c>
      <c r="K52" s="250"/>
      <c r="L52" s="262"/>
      <c r="M52" s="262"/>
      <c r="N52" s="263"/>
      <c r="O52" s="261"/>
      <c r="P52" s="262"/>
      <c r="Q52" s="262"/>
      <c r="R52" s="264"/>
      <c r="S52" s="257"/>
    </row>
    <row r="53" spans="1:19" customFormat="1" ht="15">
      <c r="A53" s="248"/>
      <c r="B53" s="249"/>
      <c r="C53" s="250">
        <v>0</v>
      </c>
      <c r="D53" s="251">
        <v>1</v>
      </c>
      <c r="E53" s="251">
        <v>1</v>
      </c>
      <c r="F53" s="250">
        <f t="shared" si="6"/>
        <v>0</v>
      </c>
      <c r="G53" s="250">
        <v>0</v>
      </c>
      <c r="H53" s="251">
        <v>1</v>
      </c>
      <c r="I53" s="251">
        <v>1</v>
      </c>
      <c r="J53" s="250">
        <f t="shared" si="5"/>
        <v>0</v>
      </c>
      <c r="K53" s="250"/>
      <c r="L53" s="262"/>
      <c r="M53" s="262"/>
      <c r="N53" s="263"/>
      <c r="O53" s="261"/>
      <c r="P53" s="262"/>
      <c r="Q53" s="262"/>
      <c r="R53" s="264"/>
      <c r="S53" s="257"/>
    </row>
    <row r="54" spans="1:19" customFormat="1" ht="15">
      <c r="A54" s="248"/>
      <c r="B54" s="249"/>
      <c r="C54" s="250">
        <v>0</v>
      </c>
      <c r="D54" s="251">
        <v>1</v>
      </c>
      <c r="E54" s="251">
        <v>1</v>
      </c>
      <c r="F54" s="250">
        <f>C54*D54*E54</f>
        <v>0</v>
      </c>
      <c r="G54" s="250">
        <v>0</v>
      </c>
      <c r="H54" s="251">
        <v>1</v>
      </c>
      <c r="I54" s="251">
        <v>1</v>
      </c>
      <c r="J54" s="250">
        <f t="shared" si="5"/>
        <v>0</v>
      </c>
      <c r="K54" s="250"/>
      <c r="L54" s="262"/>
      <c r="M54" s="262"/>
      <c r="N54" s="263"/>
      <c r="O54" s="261"/>
      <c r="P54" s="262"/>
      <c r="Q54" s="262"/>
      <c r="R54" s="264"/>
      <c r="S54" s="257"/>
    </row>
    <row r="55" spans="1:19" customFormat="1" ht="15">
      <c r="A55" s="352" t="s">
        <v>306</v>
      </c>
      <c r="B55" s="249" t="s">
        <v>307</v>
      </c>
      <c r="C55" s="250">
        <v>0</v>
      </c>
      <c r="D55" s="251">
        <v>1</v>
      </c>
      <c r="E55" s="251">
        <v>1</v>
      </c>
      <c r="F55" s="250">
        <f t="shared" ref="F55:F61" si="7">C55*D55*E55</f>
        <v>0</v>
      </c>
      <c r="G55" s="250">
        <v>0</v>
      </c>
      <c r="H55" s="251">
        <v>1</v>
      </c>
      <c r="I55" s="251">
        <v>1</v>
      </c>
      <c r="J55" s="250">
        <f t="shared" si="5"/>
        <v>0</v>
      </c>
      <c r="K55" s="250"/>
      <c r="L55" s="262"/>
      <c r="M55" s="262"/>
      <c r="N55" s="263"/>
      <c r="O55" s="261"/>
      <c r="P55" s="262"/>
      <c r="Q55" s="262"/>
      <c r="R55" s="264"/>
      <c r="S55" s="257"/>
    </row>
    <row r="56" spans="1:19" customFormat="1" ht="15">
      <c r="A56" s="353" t="s">
        <v>301</v>
      </c>
      <c r="B56" s="509" t="s">
        <v>305</v>
      </c>
      <c r="C56" s="250">
        <v>0</v>
      </c>
      <c r="D56" s="251">
        <v>1</v>
      </c>
      <c r="E56" s="251">
        <v>1</v>
      </c>
      <c r="F56" s="250">
        <f t="shared" si="7"/>
        <v>0</v>
      </c>
      <c r="G56" s="250">
        <v>0</v>
      </c>
      <c r="H56" s="251">
        <v>1</v>
      </c>
      <c r="I56" s="251">
        <v>1</v>
      </c>
      <c r="J56" s="250">
        <f t="shared" si="5"/>
        <v>0</v>
      </c>
      <c r="K56" s="250"/>
      <c r="L56" s="262"/>
      <c r="M56" s="262"/>
      <c r="N56" s="263"/>
      <c r="O56" s="261"/>
      <c r="P56" s="262"/>
      <c r="Q56" s="262"/>
      <c r="R56" s="264"/>
      <c r="S56" s="257"/>
    </row>
    <row r="57" spans="1:19" customFormat="1" ht="15">
      <c r="A57" s="354"/>
      <c r="B57" s="509" t="s">
        <v>304</v>
      </c>
      <c r="C57" s="250">
        <v>0</v>
      </c>
      <c r="D57" s="251">
        <v>1</v>
      </c>
      <c r="E57" s="251">
        <v>1</v>
      </c>
      <c r="F57" s="250">
        <f t="shared" si="7"/>
        <v>0</v>
      </c>
      <c r="G57" s="250">
        <v>0</v>
      </c>
      <c r="H57" s="251">
        <v>1</v>
      </c>
      <c r="I57" s="251">
        <v>1</v>
      </c>
      <c r="J57" s="250">
        <f t="shared" si="5"/>
        <v>0</v>
      </c>
      <c r="K57" s="250"/>
      <c r="L57" s="262"/>
      <c r="M57" s="262"/>
      <c r="N57" s="263"/>
      <c r="O57" s="261"/>
      <c r="P57" s="262"/>
      <c r="Q57" s="262"/>
      <c r="R57" s="264"/>
      <c r="S57" s="257"/>
    </row>
    <row r="58" spans="1:19" customFormat="1" ht="15">
      <c r="A58" s="354"/>
      <c r="B58" s="509" t="s">
        <v>303</v>
      </c>
      <c r="C58" s="250">
        <v>0</v>
      </c>
      <c r="D58" s="251">
        <v>1</v>
      </c>
      <c r="E58" s="251">
        <v>1</v>
      </c>
      <c r="F58" s="250">
        <f t="shared" si="7"/>
        <v>0</v>
      </c>
      <c r="G58" s="250">
        <v>0</v>
      </c>
      <c r="H58" s="251">
        <v>1</v>
      </c>
      <c r="I58" s="251">
        <v>1</v>
      </c>
      <c r="J58" s="250">
        <f t="shared" si="5"/>
        <v>0</v>
      </c>
      <c r="K58" s="250"/>
      <c r="L58" s="262"/>
      <c r="M58" s="262"/>
      <c r="N58" s="263"/>
      <c r="O58" s="261"/>
      <c r="P58" s="262"/>
      <c r="Q58" s="262"/>
      <c r="R58" s="264"/>
      <c r="S58" s="257"/>
    </row>
    <row r="59" spans="1:19" customFormat="1" ht="15">
      <c r="A59" s="355"/>
      <c r="B59" s="509" t="s">
        <v>302</v>
      </c>
      <c r="C59" s="250">
        <v>0</v>
      </c>
      <c r="D59" s="251">
        <v>1</v>
      </c>
      <c r="E59" s="251">
        <v>1</v>
      </c>
      <c r="F59" s="250">
        <f t="shared" si="7"/>
        <v>0</v>
      </c>
      <c r="G59" s="250">
        <v>0</v>
      </c>
      <c r="H59" s="251">
        <v>1</v>
      </c>
      <c r="I59" s="251">
        <v>1</v>
      </c>
      <c r="J59" s="250">
        <f t="shared" si="5"/>
        <v>0</v>
      </c>
      <c r="K59" s="250"/>
      <c r="L59" s="262"/>
      <c r="M59" s="262"/>
      <c r="N59" s="263"/>
      <c r="O59" s="261"/>
      <c r="P59" s="262"/>
      <c r="Q59" s="262"/>
      <c r="R59" s="264"/>
      <c r="S59" s="257"/>
    </row>
    <row r="60" spans="1:19" customFormat="1" ht="15">
      <c r="A60" s="353" t="s">
        <v>308</v>
      </c>
      <c r="B60" s="509" t="s">
        <v>309</v>
      </c>
      <c r="C60" s="250">
        <v>0</v>
      </c>
      <c r="D60" s="251">
        <v>1</v>
      </c>
      <c r="E60" s="251">
        <v>1</v>
      </c>
      <c r="F60" s="250">
        <f t="shared" si="7"/>
        <v>0</v>
      </c>
      <c r="G60" s="250">
        <v>0</v>
      </c>
      <c r="H60" s="251">
        <v>1</v>
      </c>
      <c r="I60" s="251">
        <v>1</v>
      </c>
      <c r="J60" s="250">
        <f t="shared" si="5"/>
        <v>0</v>
      </c>
      <c r="K60" s="250"/>
      <c r="L60" s="262"/>
      <c r="M60" s="262"/>
      <c r="N60" s="263"/>
      <c r="O60" s="261"/>
      <c r="P60" s="262"/>
      <c r="Q60" s="262"/>
      <c r="R60" s="264"/>
      <c r="S60" s="257"/>
    </row>
    <row r="61" spans="1:19" customFormat="1" ht="15">
      <c r="A61" s="355"/>
      <c r="B61" s="509" t="s">
        <v>310</v>
      </c>
      <c r="C61" s="250">
        <v>0</v>
      </c>
      <c r="D61" s="251">
        <v>1</v>
      </c>
      <c r="E61" s="251">
        <v>1</v>
      </c>
      <c r="F61" s="250">
        <f>C61*D61*E61</f>
        <v>0</v>
      </c>
      <c r="G61" s="250">
        <v>0</v>
      </c>
      <c r="H61" s="251">
        <v>1</v>
      </c>
      <c r="I61" s="251">
        <v>1</v>
      </c>
      <c r="J61" s="250">
        <f>G61*H61*I61</f>
        <v>0</v>
      </c>
      <c r="K61" s="250"/>
      <c r="L61" s="262"/>
      <c r="M61" s="262"/>
      <c r="N61" s="263"/>
      <c r="O61" s="261"/>
      <c r="P61" s="262"/>
      <c r="Q61" s="262"/>
      <c r="R61" s="264"/>
      <c r="S61" s="257"/>
    </row>
    <row r="62" spans="1:19" customFormat="1" ht="15">
      <c r="A62" s="258" t="s">
        <v>31</v>
      </c>
      <c r="B62" s="267">
        <f>SUM(F57:F61)</f>
        <v>0</v>
      </c>
      <c r="C62" s="250">
        <f>B62</f>
        <v>0</v>
      </c>
      <c r="D62" s="269">
        <v>1</v>
      </c>
      <c r="E62" s="269">
        <v>1</v>
      </c>
      <c r="F62" s="255">
        <f>C62*D62*E62</f>
        <v>0</v>
      </c>
      <c r="G62" s="268"/>
      <c r="H62" s="348"/>
      <c r="I62" s="259"/>
      <c r="J62" s="250"/>
      <c r="K62" s="250"/>
      <c r="L62" s="262"/>
      <c r="M62" s="262"/>
      <c r="N62" s="263"/>
      <c r="O62" s="261"/>
      <c r="P62" s="262"/>
      <c r="Q62" s="262"/>
      <c r="R62" s="264"/>
      <c r="S62" s="266"/>
    </row>
    <row r="63" spans="1:19" customFormat="1" ht="15" customHeight="1">
      <c r="A63" s="270"/>
      <c r="B63" s="271" t="s">
        <v>32</v>
      </c>
      <c r="C63" s="272"/>
      <c r="D63" s="273"/>
      <c r="E63" s="273"/>
      <c r="F63" s="274">
        <f>SUM(F8:F62)</f>
        <v>0</v>
      </c>
      <c r="G63" s="272"/>
      <c r="H63" s="272"/>
      <c r="I63" s="273"/>
      <c r="J63" s="273"/>
      <c r="K63" s="272"/>
      <c r="L63" s="273"/>
      <c r="M63" s="273"/>
      <c r="N63" s="275">
        <f>SUM(N20:N20)</f>
        <v>0</v>
      </c>
      <c r="O63" s="272"/>
      <c r="P63" s="273"/>
      <c r="Q63" s="273"/>
      <c r="R63" s="276">
        <f>SUM(R20:R20)</f>
        <v>0</v>
      </c>
      <c r="S63" s="277"/>
    </row>
    <row r="64" spans="1:19" ht="15" customHeight="1">
      <c r="A64" s="270"/>
      <c r="B64" s="271" t="s">
        <v>33</v>
      </c>
      <c r="C64" s="272"/>
      <c r="D64" s="273"/>
      <c r="E64" s="273"/>
      <c r="F64" s="274">
        <f>SUM(F8:F62)</f>
        <v>0</v>
      </c>
      <c r="G64" s="272"/>
      <c r="H64" s="272"/>
      <c r="I64" s="273"/>
      <c r="J64" s="274">
        <f>SUM(J19:J54)+K8</f>
        <v>0</v>
      </c>
      <c r="K64" s="272"/>
      <c r="L64" s="273"/>
      <c r="M64" s="273"/>
      <c r="N64" s="275">
        <f>SUM(N21:N21)</f>
        <v>0</v>
      </c>
      <c r="O64" s="272"/>
      <c r="P64" s="273"/>
      <c r="Q64" s="273"/>
      <c r="R64" s="276">
        <f>SUM(R21:R21)</f>
        <v>0</v>
      </c>
      <c r="S64" s="277"/>
    </row>
    <row r="65" spans="1:19" s="214" customFormat="1" ht="15" customHeight="1">
      <c r="A65" s="420" t="s">
        <v>34</v>
      </c>
      <c r="B65" s="278" t="s">
        <v>35</v>
      </c>
      <c r="C65" s="89"/>
      <c r="D65" s="98"/>
      <c r="E65" s="98"/>
      <c r="F65" s="279"/>
      <c r="G65" s="280">
        <v>70</v>
      </c>
      <c r="H65" s="510">
        <v>1</v>
      </c>
      <c r="I65" s="510">
        <v>1</v>
      </c>
      <c r="J65" s="350">
        <f t="shared" ref="J65:J76" si="8">G65*H65*I65</f>
        <v>70</v>
      </c>
      <c r="K65" s="89"/>
      <c r="L65" s="98"/>
      <c r="M65" s="98"/>
      <c r="N65" s="282"/>
      <c r="O65" s="89"/>
      <c r="P65" s="126"/>
      <c r="Q65" s="130"/>
      <c r="R65" s="89"/>
      <c r="S65" s="283"/>
    </row>
    <row r="66" spans="1:19" s="214" customFormat="1" ht="15" customHeight="1">
      <c r="A66" s="420"/>
      <c r="B66" s="278" t="s">
        <v>36</v>
      </c>
      <c r="C66" s="89"/>
      <c r="D66" s="98"/>
      <c r="E66" s="98"/>
      <c r="F66" s="279"/>
      <c r="G66" s="280">
        <v>1000</v>
      </c>
      <c r="H66" s="510">
        <v>1</v>
      </c>
      <c r="I66" s="510">
        <v>1</v>
      </c>
      <c r="J66" s="286">
        <f t="shared" si="8"/>
        <v>1000</v>
      </c>
      <c r="K66" s="89"/>
      <c r="L66" s="98"/>
      <c r="M66" s="98"/>
      <c r="N66" s="282"/>
      <c r="O66" s="89"/>
      <c r="P66" s="126"/>
      <c r="Q66" s="130"/>
      <c r="R66" s="89"/>
      <c r="S66" s="284"/>
    </row>
    <row r="67" spans="1:19" s="214" customFormat="1" ht="15" customHeight="1">
      <c r="A67" s="420"/>
      <c r="B67" s="285" t="s">
        <v>37</v>
      </c>
      <c r="C67" s="89"/>
      <c r="D67" s="98"/>
      <c r="E67" s="98"/>
      <c r="F67" s="279"/>
      <c r="G67" s="280"/>
      <c r="H67" s="510"/>
      <c r="I67" s="510"/>
      <c r="J67" s="286">
        <f t="shared" si="8"/>
        <v>0</v>
      </c>
      <c r="K67" s="89"/>
      <c r="L67" s="98"/>
      <c r="M67" s="98"/>
      <c r="N67" s="282"/>
      <c r="O67" s="89"/>
      <c r="P67" s="126"/>
      <c r="Q67" s="130"/>
      <c r="R67" s="89"/>
      <c r="S67" s="284"/>
    </row>
    <row r="68" spans="1:19" s="214" customFormat="1" ht="15" customHeight="1">
      <c r="A68" s="420"/>
      <c r="B68" s="278" t="s">
        <v>38</v>
      </c>
      <c r="C68" s="287"/>
      <c r="D68" s="288"/>
      <c r="E68" s="288"/>
      <c r="F68" s="279"/>
      <c r="G68" s="280"/>
      <c r="H68" s="510"/>
      <c r="I68" s="510"/>
      <c r="J68" s="286">
        <f t="shared" si="8"/>
        <v>0</v>
      </c>
      <c r="K68" s="89"/>
      <c r="L68" s="288"/>
      <c r="M68" s="288"/>
      <c r="N68" s="282"/>
      <c r="O68" s="89"/>
      <c r="P68" s="126"/>
      <c r="Q68" s="130"/>
      <c r="R68" s="89"/>
      <c r="S68" s="289"/>
    </row>
    <row r="69" spans="1:19" s="214" customFormat="1" ht="15" customHeight="1">
      <c r="A69" s="420"/>
      <c r="B69" s="278" t="s">
        <v>39</v>
      </c>
      <c r="C69" s="287"/>
      <c r="D69" s="288"/>
      <c r="E69" s="288"/>
      <c r="F69" s="279"/>
      <c r="G69" s="280">
        <v>0</v>
      </c>
      <c r="H69" s="510">
        <v>1</v>
      </c>
      <c r="I69" s="510">
        <v>1</v>
      </c>
      <c r="J69" s="350">
        <f t="shared" si="8"/>
        <v>0</v>
      </c>
      <c r="K69" s="89"/>
      <c r="L69" s="288"/>
      <c r="M69" s="288"/>
      <c r="N69" s="282"/>
      <c r="O69" s="89"/>
      <c r="P69" s="126"/>
      <c r="Q69" s="130"/>
      <c r="R69" s="89"/>
      <c r="S69" s="290"/>
    </row>
    <row r="70" spans="1:19" s="214" customFormat="1" ht="15" customHeight="1">
      <c r="A70" s="420"/>
      <c r="B70" s="278" t="s">
        <v>40</v>
      </c>
      <c r="C70" s="287"/>
      <c r="D70" s="288"/>
      <c r="E70" s="288"/>
      <c r="F70" s="279"/>
      <c r="G70" s="280"/>
      <c r="H70" s="510"/>
      <c r="I70" s="510"/>
      <c r="J70" s="286">
        <f t="shared" si="8"/>
        <v>0</v>
      </c>
      <c r="K70" s="89"/>
      <c r="L70" s="288"/>
      <c r="M70" s="288"/>
      <c r="N70" s="282"/>
      <c r="O70" s="89"/>
      <c r="P70" s="126"/>
      <c r="Q70" s="130"/>
      <c r="R70" s="279"/>
      <c r="S70" s="290"/>
    </row>
    <row r="71" spans="1:19" s="214" customFormat="1" ht="15" customHeight="1">
      <c r="A71" s="420"/>
      <c r="B71" s="278" t="s">
        <v>41</v>
      </c>
      <c r="C71" s="287"/>
      <c r="D71" s="288"/>
      <c r="E71" s="288"/>
      <c r="F71" s="279"/>
      <c r="G71" s="280">
        <v>300</v>
      </c>
      <c r="H71" s="510">
        <v>1</v>
      </c>
      <c r="I71" s="510">
        <v>1</v>
      </c>
      <c r="J71" s="350">
        <f t="shared" si="8"/>
        <v>300</v>
      </c>
      <c r="K71" s="89"/>
      <c r="L71" s="288"/>
      <c r="M71" s="288"/>
      <c r="N71" s="282"/>
      <c r="O71" s="89"/>
      <c r="P71" s="126"/>
      <c r="Q71" s="130"/>
      <c r="R71" s="279"/>
      <c r="S71" s="290"/>
    </row>
    <row r="72" spans="1:19" s="214" customFormat="1" ht="15" customHeight="1">
      <c r="A72" s="420"/>
      <c r="B72" s="278" t="s">
        <v>42</v>
      </c>
      <c r="C72" s="287"/>
      <c r="D72" s="288"/>
      <c r="E72" s="288"/>
      <c r="F72" s="279"/>
      <c r="G72" s="280"/>
      <c r="H72" s="510"/>
      <c r="I72" s="510"/>
      <c r="J72" s="286">
        <f>G72*H72*I72</f>
        <v>0</v>
      </c>
      <c r="K72" s="89"/>
      <c r="L72" s="288"/>
      <c r="M72" s="288"/>
      <c r="N72" s="291"/>
      <c r="O72" s="89"/>
      <c r="P72" s="126"/>
      <c r="Q72" s="130"/>
      <c r="R72" s="279"/>
      <c r="S72" s="290"/>
    </row>
    <row r="73" spans="1:19" s="214" customFormat="1" ht="15" customHeight="1">
      <c r="A73" s="420"/>
      <c r="B73" s="278" t="s">
        <v>43</v>
      </c>
      <c r="C73" s="287"/>
      <c r="D73" s="288"/>
      <c r="E73" s="288"/>
      <c r="F73" s="279"/>
      <c r="G73" s="280">
        <v>120</v>
      </c>
      <c r="H73" s="510">
        <v>1</v>
      </c>
      <c r="I73" s="510">
        <v>1</v>
      </c>
      <c r="J73" s="286">
        <f>G73*H73*I73</f>
        <v>120</v>
      </c>
      <c r="K73" s="89"/>
      <c r="L73" s="288"/>
      <c r="M73" s="288"/>
      <c r="N73" s="291"/>
      <c r="O73" s="89"/>
      <c r="P73" s="126"/>
      <c r="Q73" s="130"/>
      <c r="R73" s="279"/>
      <c r="S73" s="349" t="s">
        <v>291</v>
      </c>
    </row>
    <row r="74" spans="1:19" s="214" customFormat="1" ht="15" customHeight="1">
      <c r="A74" s="420"/>
      <c r="B74" s="285" t="s">
        <v>44</v>
      </c>
      <c r="C74" s="287"/>
      <c r="D74" s="288"/>
      <c r="E74" s="288"/>
      <c r="F74" s="279"/>
      <c r="G74" s="280"/>
      <c r="H74" s="281"/>
      <c r="I74" s="281"/>
      <c r="J74" s="286">
        <f t="shared" si="8"/>
        <v>0</v>
      </c>
      <c r="K74" s="89"/>
      <c r="L74" s="288"/>
      <c r="M74" s="288"/>
      <c r="N74" s="291"/>
      <c r="O74" s="89"/>
      <c r="P74" s="126"/>
      <c r="Q74" s="130"/>
      <c r="R74" s="279"/>
      <c r="S74" s="290"/>
    </row>
    <row r="75" spans="1:19" s="214" customFormat="1" ht="15" customHeight="1">
      <c r="A75" s="420"/>
      <c r="B75" s="285" t="s">
        <v>45</v>
      </c>
      <c r="C75" s="287"/>
      <c r="D75" s="288"/>
      <c r="E75" s="288"/>
      <c r="F75" s="279"/>
      <c r="G75" s="280"/>
      <c r="H75" s="281"/>
      <c r="I75" s="281"/>
      <c r="J75" s="286">
        <f t="shared" si="8"/>
        <v>0</v>
      </c>
      <c r="K75" s="89"/>
      <c r="L75" s="288"/>
      <c r="M75" s="288"/>
      <c r="N75" s="291"/>
      <c r="O75" s="89"/>
      <c r="P75" s="126"/>
      <c r="Q75" s="130"/>
      <c r="R75" s="279"/>
      <c r="S75" s="290"/>
    </row>
    <row r="76" spans="1:19" s="214" customFormat="1" ht="15" customHeight="1">
      <c r="A76" s="420"/>
      <c r="B76" s="285" t="s">
        <v>46</v>
      </c>
      <c r="C76" s="287"/>
      <c r="D76" s="288"/>
      <c r="E76" s="288"/>
      <c r="F76" s="279"/>
      <c r="G76" s="280"/>
      <c r="H76" s="281"/>
      <c r="I76" s="281"/>
      <c r="J76" s="286">
        <f t="shared" si="8"/>
        <v>0</v>
      </c>
      <c r="K76" s="89"/>
      <c r="L76" s="288"/>
      <c r="M76" s="288"/>
      <c r="N76" s="291"/>
      <c r="O76" s="292"/>
      <c r="P76" s="126"/>
      <c r="Q76" s="130"/>
      <c r="R76" s="279"/>
      <c r="S76" s="290"/>
    </row>
    <row r="77" spans="1:19" ht="15" customHeight="1">
      <c r="A77" s="270"/>
      <c r="B77" s="271" t="s">
        <v>33</v>
      </c>
      <c r="C77" s="272"/>
      <c r="D77" s="273"/>
      <c r="E77" s="273"/>
      <c r="F77" s="274">
        <f t="shared" ref="F77" si="9">SUM(F65:F76)</f>
        <v>0</v>
      </c>
      <c r="G77" s="272"/>
      <c r="H77" s="272"/>
      <c r="I77" s="273"/>
      <c r="J77" s="274">
        <f>SUM(J65:J76)</f>
        <v>1490</v>
      </c>
      <c r="K77" s="272"/>
      <c r="L77" s="273"/>
      <c r="M77" s="273"/>
      <c r="N77" s="275">
        <f>SUM(N65:N76)</f>
        <v>0</v>
      </c>
      <c r="O77" s="272"/>
      <c r="P77" s="273"/>
      <c r="Q77" s="273"/>
      <c r="R77" s="276">
        <f>SUM(R65:R76)</f>
        <v>0</v>
      </c>
      <c r="S77" s="293"/>
    </row>
    <row r="78" spans="1:19" s="210" customFormat="1" ht="15" customHeight="1">
      <c r="A78" s="411" t="s">
        <v>47</v>
      </c>
      <c r="B78" s="294" t="s">
        <v>48</v>
      </c>
      <c r="C78" s="127"/>
      <c r="D78" s="295"/>
      <c r="E78" s="295"/>
      <c r="F78" s="296"/>
      <c r="G78" s="297"/>
      <c r="H78" s="297"/>
      <c r="I78" s="298"/>
      <c r="J78" s="296"/>
      <c r="K78" s="127"/>
      <c r="L78" s="295"/>
      <c r="M78" s="295"/>
      <c r="N78" s="299">
        <f>K78*L78*M78</f>
        <v>0</v>
      </c>
      <c r="O78" s="127"/>
      <c r="P78" s="298"/>
      <c r="Q78" s="298"/>
      <c r="R78" s="300">
        <f>O78*P78*Q78</f>
        <v>0</v>
      </c>
      <c r="S78" s="301"/>
    </row>
    <row r="79" spans="1:19" s="210" customFormat="1" ht="15" customHeight="1">
      <c r="A79" s="411"/>
      <c r="B79" s="294" t="s">
        <v>49</v>
      </c>
      <c r="C79" s="127"/>
      <c r="D79" s="295"/>
      <c r="E79" s="295"/>
      <c r="F79" s="296"/>
      <c r="G79" s="297"/>
      <c r="H79" s="297"/>
      <c r="I79" s="298"/>
      <c r="J79" s="296"/>
      <c r="K79" s="127"/>
      <c r="L79" s="295"/>
      <c r="M79" s="295"/>
      <c r="N79" s="299">
        <f>K79*L79*M79</f>
        <v>0</v>
      </c>
      <c r="O79" s="302"/>
      <c r="P79" s="298"/>
      <c r="Q79" s="298"/>
      <c r="R79" s="300">
        <f>O79*P79*Q79</f>
        <v>0</v>
      </c>
      <c r="S79" s="301"/>
    </row>
    <row r="80" spans="1:19" ht="15" customHeight="1">
      <c r="A80" s="303"/>
      <c r="B80" s="271" t="s">
        <v>33</v>
      </c>
      <c r="C80" s="273"/>
      <c r="D80" s="273"/>
      <c r="E80" s="273"/>
      <c r="F80" s="274">
        <f>SUM(F78:F78)</f>
        <v>0</v>
      </c>
      <c r="G80" s="273"/>
      <c r="H80" s="272"/>
      <c r="I80" s="273"/>
      <c r="J80" s="274">
        <f>SUM(J78:J79)</f>
        <v>0</v>
      </c>
      <c r="K80" s="273"/>
      <c r="L80" s="273"/>
      <c r="M80" s="273"/>
      <c r="N80" s="275">
        <f>SUM(N78:N79)</f>
        <v>0</v>
      </c>
      <c r="O80" s="273"/>
      <c r="P80" s="273"/>
      <c r="Q80" s="273"/>
      <c r="R80" s="276">
        <f>SUM(R78:R79)</f>
        <v>0</v>
      </c>
      <c r="S80" s="293"/>
    </row>
    <row r="81" spans="1:19" ht="15" customHeight="1">
      <c r="A81" s="351"/>
      <c r="B81" s="304"/>
      <c r="C81" s="415" t="s">
        <v>50</v>
      </c>
      <c r="D81" s="415"/>
      <c r="E81" s="415"/>
      <c r="F81" s="274">
        <f>F64+F77+F80</f>
        <v>0</v>
      </c>
      <c r="G81" s="305"/>
      <c r="H81" s="306"/>
      <c r="I81" s="307"/>
      <c r="J81" s="274">
        <f>SUM(J64+J77+J80)</f>
        <v>1490</v>
      </c>
      <c r="K81" s="381" t="s">
        <v>51</v>
      </c>
      <c r="L81" s="381"/>
      <c r="M81" s="381"/>
      <c r="N81" s="275">
        <f>N64+N77+N80</f>
        <v>0</v>
      </c>
      <c r="O81" s="382"/>
      <c r="P81" s="383"/>
      <c r="Q81" s="383"/>
      <c r="R81" s="276"/>
      <c r="S81" s="293"/>
    </row>
    <row r="82" spans="1:19" ht="15" customHeight="1">
      <c r="A82" s="303"/>
      <c r="B82" s="308"/>
      <c r="C82" s="422" t="s">
        <v>52</v>
      </c>
      <c r="D82" s="422"/>
      <c r="E82" s="412">
        <v>0.1</v>
      </c>
      <c r="F82" s="414">
        <v>0</v>
      </c>
      <c r="G82" s="384" t="s">
        <v>53</v>
      </c>
      <c r="H82" s="385"/>
      <c r="I82" s="385"/>
      <c r="J82" s="423">
        <f>(F86/1.06)*0.0672</f>
        <v>0</v>
      </c>
      <c r="K82" s="385" t="s">
        <v>54</v>
      </c>
      <c r="L82" s="385"/>
      <c r="M82" s="412">
        <v>0.05</v>
      </c>
      <c r="N82" s="414">
        <f>N81*M82</f>
        <v>0</v>
      </c>
      <c r="O82" s="384" t="s">
        <v>55</v>
      </c>
      <c r="P82" s="384"/>
      <c r="Q82" s="384"/>
      <c r="R82" s="421" t="e">
        <f>(#REF!/1.03)*0.0672</f>
        <v>#REF!</v>
      </c>
      <c r="S82" s="293"/>
    </row>
    <row r="83" spans="1:19" ht="15" customHeight="1">
      <c r="A83" s="303"/>
      <c r="B83" s="308"/>
      <c r="C83" s="422"/>
      <c r="D83" s="422"/>
      <c r="E83" s="412"/>
      <c r="F83" s="414"/>
      <c r="G83" s="384"/>
      <c r="H83" s="385"/>
      <c r="I83" s="385"/>
      <c r="J83" s="423"/>
      <c r="K83" s="385"/>
      <c r="L83" s="385"/>
      <c r="M83" s="412"/>
      <c r="N83" s="414"/>
      <c r="O83" s="384"/>
      <c r="P83" s="384"/>
      <c r="Q83" s="384"/>
      <c r="R83" s="421"/>
      <c r="S83" s="293"/>
    </row>
    <row r="84" spans="1:19" ht="24" customHeight="1">
      <c r="A84" s="303"/>
      <c r="B84" s="308"/>
      <c r="C84" s="422" t="s">
        <v>56</v>
      </c>
      <c r="D84" s="422"/>
      <c r="E84" s="413">
        <v>0.06</v>
      </c>
      <c r="F84" s="414">
        <f>(F64+F82)*E84</f>
        <v>0</v>
      </c>
      <c r="G84" s="384" t="s">
        <v>57</v>
      </c>
      <c r="H84" s="385"/>
      <c r="I84" s="385"/>
      <c r="J84" s="274">
        <v>0</v>
      </c>
      <c r="K84" s="385" t="s">
        <v>58</v>
      </c>
      <c r="L84" s="385"/>
      <c r="M84" s="413">
        <v>0.06</v>
      </c>
      <c r="N84" s="414">
        <f>(N81+N82)*M84</f>
        <v>0</v>
      </c>
      <c r="O84" s="384" t="s">
        <v>59</v>
      </c>
      <c r="P84" s="384"/>
      <c r="Q84" s="384"/>
      <c r="R84" s="276"/>
      <c r="S84" s="293"/>
    </row>
    <row r="85" spans="1:19" ht="20.25" customHeight="1">
      <c r="A85" s="303"/>
      <c r="B85" s="308"/>
      <c r="C85" s="422"/>
      <c r="D85" s="422"/>
      <c r="E85" s="412"/>
      <c r="F85" s="414"/>
      <c r="G85" s="385" t="s">
        <v>60</v>
      </c>
      <c r="H85" s="385"/>
      <c r="I85" s="385"/>
      <c r="J85" s="274">
        <f>J82-J84</f>
        <v>0</v>
      </c>
      <c r="K85" s="385"/>
      <c r="L85" s="385"/>
      <c r="M85" s="412"/>
      <c r="N85" s="414"/>
      <c r="O85" s="385" t="s">
        <v>61</v>
      </c>
      <c r="P85" s="385"/>
      <c r="Q85" s="385"/>
      <c r="R85" s="276" t="e">
        <f>R82-R84</f>
        <v>#REF!</v>
      </c>
      <c r="S85" s="293"/>
    </row>
    <row r="86" spans="1:19" s="215" customFormat="1" ht="15" customHeight="1">
      <c r="A86" s="387" t="s">
        <v>62</v>
      </c>
      <c r="B86" s="388"/>
      <c r="C86" s="389"/>
      <c r="D86" s="389"/>
      <c r="E86" s="389"/>
      <c r="F86" s="309">
        <f>F64+F82+F84</f>
        <v>0</v>
      </c>
      <c r="G86" s="390" t="s">
        <v>63</v>
      </c>
      <c r="H86" s="391"/>
      <c r="I86" s="391"/>
      <c r="J86" s="310">
        <f>J64+J77+J80+J85</f>
        <v>1490</v>
      </c>
      <c r="K86" s="390" t="s">
        <v>64</v>
      </c>
      <c r="L86" s="391"/>
      <c r="M86" s="391"/>
      <c r="N86" s="311">
        <f>N81+N82+N84</f>
        <v>0</v>
      </c>
      <c r="O86" s="390" t="s">
        <v>65</v>
      </c>
      <c r="P86" s="391"/>
      <c r="Q86" s="391"/>
      <c r="R86" s="312" t="e">
        <f>R64+R77+R80+R85</f>
        <v>#REF!</v>
      </c>
      <c r="S86" s="313"/>
    </row>
    <row r="87" spans="1:19" s="216" customFormat="1" ht="15" customHeight="1">
      <c r="A87" s="315"/>
      <c r="B87" s="314"/>
      <c r="C87" s="315"/>
      <c r="D87" s="315"/>
      <c r="E87" s="315"/>
      <c r="F87" s="316"/>
      <c r="G87" s="89"/>
      <c r="H87" s="317"/>
      <c r="I87" s="318"/>
      <c r="J87" s="319"/>
      <c r="K87" s="392" t="s">
        <v>66</v>
      </c>
      <c r="L87" s="392"/>
      <c r="M87" s="392"/>
      <c r="N87" s="311">
        <v>20469.871999999999</v>
      </c>
      <c r="O87" s="320" t="s">
        <v>67</v>
      </c>
      <c r="P87" s="320"/>
      <c r="Q87" s="321"/>
      <c r="R87" s="322"/>
      <c r="S87" s="322"/>
    </row>
    <row r="88" spans="1:19" ht="16.5" customHeight="1">
      <c r="A88" s="512"/>
      <c r="B88" s="324"/>
      <c r="C88" s="325" t="s">
        <v>68</v>
      </c>
      <c r="D88" s="325"/>
      <c r="E88" s="325"/>
      <c r="F88" s="325"/>
      <c r="G88" s="325"/>
      <c r="H88" s="325"/>
      <c r="I88" s="325"/>
      <c r="J88" s="325"/>
      <c r="K88" s="399" t="s">
        <v>69</v>
      </c>
      <c r="L88" s="399"/>
      <c r="M88" s="399"/>
      <c r="N88" s="399"/>
      <c r="O88" s="399"/>
      <c r="P88" s="399"/>
      <c r="Q88" s="399"/>
      <c r="R88" s="400"/>
      <c r="S88" s="399"/>
    </row>
    <row r="89" spans="1:19" ht="15" customHeight="1">
      <c r="A89" s="513"/>
      <c r="B89" s="326"/>
      <c r="C89" s="393" t="s">
        <v>12</v>
      </c>
      <c r="D89" s="394"/>
      <c r="E89" s="394"/>
      <c r="F89" s="327">
        <f>F86</f>
        <v>0</v>
      </c>
      <c r="G89" s="395" t="s">
        <v>14</v>
      </c>
      <c r="H89" s="396"/>
      <c r="I89" s="396"/>
      <c r="J89" s="328" t="e">
        <f>#REF!</f>
        <v>#REF!</v>
      </c>
      <c r="K89" s="397" t="s">
        <v>70</v>
      </c>
      <c r="L89" s="397"/>
      <c r="M89" s="397" t="s">
        <v>71</v>
      </c>
      <c r="N89" s="397"/>
      <c r="O89" s="398">
        <v>0</v>
      </c>
      <c r="P89" s="398"/>
      <c r="Q89" s="401" t="s">
        <v>72</v>
      </c>
      <c r="R89" s="402"/>
      <c r="S89" s="329"/>
    </row>
    <row r="90" spans="1:19" ht="15" customHeight="1">
      <c r="A90" s="513"/>
      <c r="B90" s="326"/>
      <c r="C90" s="393" t="s">
        <v>13</v>
      </c>
      <c r="D90" s="394"/>
      <c r="E90" s="394"/>
      <c r="F90" s="327">
        <f>J86</f>
        <v>1490</v>
      </c>
      <c r="G90" s="395" t="s">
        <v>15</v>
      </c>
      <c r="H90" s="396"/>
      <c r="I90" s="396"/>
      <c r="J90" s="328" t="e">
        <f>R86</f>
        <v>#REF!</v>
      </c>
      <c r="K90" s="397"/>
      <c r="L90" s="397"/>
      <c r="M90" s="401" t="s">
        <v>73</v>
      </c>
      <c r="N90" s="403"/>
      <c r="O90" s="375"/>
      <c r="P90" s="404"/>
      <c r="Q90" s="404"/>
      <c r="R90" s="405"/>
      <c r="S90" s="404"/>
    </row>
    <row r="91" spans="1:19" ht="15" customHeight="1">
      <c r="A91" s="513"/>
      <c r="B91" s="330"/>
      <c r="C91" s="393" t="s">
        <v>74</v>
      </c>
      <c r="D91" s="394"/>
      <c r="E91" s="394"/>
      <c r="F91" s="327">
        <f>F89-F90</f>
        <v>-1490</v>
      </c>
      <c r="G91" s="395" t="s">
        <v>75</v>
      </c>
      <c r="H91" s="396"/>
      <c r="I91" s="396"/>
      <c r="J91" s="328" t="e">
        <f>J89-J90</f>
        <v>#REF!</v>
      </c>
      <c r="K91" s="397" t="s">
        <v>76</v>
      </c>
      <c r="L91" s="397"/>
      <c r="M91" s="397" t="s">
        <v>77</v>
      </c>
      <c r="N91" s="397"/>
      <c r="O91" s="416">
        <v>0</v>
      </c>
      <c r="P91" s="416"/>
      <c r="Q91" s="417" t="s">
        <v>78</v>
      </c>
      <c r="R91" s="418"/>
      <c r="S91" s="329"/>
    </row>
    <row r="92" spans="1:19" ht="15" customHeight="1">
      <c r="A92" s="513"/>
      <c r="B92" s="326"/>
      <c r="C92" s="393" t="s">
        <v>79</v>
      </c>
      <c r="D92" s="394"/>
      <c r="E92" s="394"/>
      <c r="F92" s="331" t="e">
        <f>F91/F89</f>
        <v>#DIV/0!</v>
      </c>
      <c r="G92" s="393" t="s">
        <v>80</v>
      </c>
      <c r="H92" s="394"/>
      <c r="I92" s="394"/>
      <c r="J92" s="332" t="e">
        <f>J91/J89</f>
        <v>#REF!</v>
      </c>
      <c r="K92" s="397"/>
      <c r="L92" s="397"/>
      <c r="M92" s="397" t="s">
        <v>81</v>
      </c>
      <c r="N92" s="397"/>
      <c r="O92" s="404"/>
      <c r="P92" s="404"/>
      <c r="Q92" s="404"/>
      <c r="R92" s="405"/>
      <c r="S92" s="404"/>
    </row>
    <row r="93" spans="1:19" ht="15" customHeight="1">
      <c r="A93" s="513"/>
      <c r="B93" s="326"/>
      <c r="C93" s="393" t="s">
        <v>82</v>
      </c>
      <c r="D93" s="393"/>
      <c r="E93" s="393"/>
      <c r="F93" s="331" t="e">
        <f>(J77-J76)/(J77-J76+F91)</f>
        <v>#DIV/0!</v>
      </c>
      <c r="G93" s="393" t="s">
        <v>83</v>
      </c>
      <c r="H93" s="393"/>
      <c r="I93" s="393"/>
      <c r="J93" s="331" t="e">
        <f>(R77-R76)/(R77-R76+J91)</f>
        <v>#REF!</v>
      </c>
      <c r="K93" s="397" t="s">
        <v>84</v>
      </c>
      <c r="L93" s="397"/>
      <c r="M93" s="397" t="s">
        <v>85</v>
      </c>
      <c r="N93" s="397"/>
      <c r="O93" s="397"/>
      <c r="P93" s="397"/>
      <c r="Q93" s="397"/>
      <c r="R93" s="419"/>
      <c r="S93" s="397"/>
    </row>
    <row r="94" spans="1:19" s="217" customFormat="1" ht="29.25" customHeight="1">
      <c r="A94" s="333"/>
      <c r="B94" s="334"/>
      <c r="C94" s="406" t="s">
        <v>86</v>
      </c>
      <c r="D94" s="407"/>
      <c r="E94" s="407"/>
      <c r="F94" s="335" t="e">
        <f>J92-F92</f>
        <v>#REF!</v>
      </c>
      <c r="G94" s="408" t="s">
        <v>87</v>
      </c>
      <c r="H94" s="408"/>
      <c r="I94" s="408"/>
      <c r="J94" s="408"/>
      <c r="K94" s="409" t="s">
        <v>88</v>
      </c>
      <c r="L94" s="409"/>
      <c r="M94" s="409"/>
      <c r="N94" s="409"/>
      <c r="O94" s="409"/>
      <c r="P94" s="409"/>
      <c r="Q94" s="409"/>
      <c r="R94" s="410"/>
      <c r="S94" s="409"/>
    </row>
    <row r="95" spans="1:19" s="217" customFormat="1" ht="29.25" customHeight="1">
      <c r="A95" s="336" t="s">
        <v>89</v>
      </c>
      <c r="B95" s="336"/>
      <c r="C95" s="406" t="s">
        <v>90</v>
      </c>
      <c r="D95" s="406"/>
      <c r="E95" s="406"/>
      <c r="F95" s="335" t="e">
        <f>J93-F93</f>
        <v>#REF!</v>
      </c>
      <c r="G95" s="408" t="s">
        <v>91</v>
      </c>
      <c r="H95" s="408"/>
      <c r="I95" s="408"/>
      <c r="J95" s="408"/>
      <c r="K95" s="409" t="s">
        <v>92</v>
      </c>
      <c r="L95" s="409"/>
      <c r="M95" s="409"/>
      <c r="N95" s="409"/>
      <c r="O95" s="409"/>
      <c r="P95" s="409"/>
      <c r="Q95" s="409"/>
      <c r="R95" s="410"/>
      <c r="S95" s="409"/>
    </row>
    <row r="96" spans="1:19" ht="15">
      <c r="A96" s="513"/>
      <c r="B96" s="330"/>
      <c r="C96" s="337"/>
      <c r="D96" s="337"/>
      <c r="E96" s="337"/>
      <c r="F96" s="338"/>
      <c r="G96" s="337"/>
      <c r="H96" s="339"/>
      <c r="I96" s="340" t="s">
        <v>93</v>
      </c>
      <c r="J96" s="341"/>
      <c r="K96" s="323"/>
      <c r="L96" s="323"/>
      <c r="M96" s="323"/>
      <c r="N96" s="323"/>
      <c r="O96" s="323"/>
      <c r="P96" s="323"/>
      <c r="Q96" s="323"/>
      <c r="R96" s="342" t="s">
        <v>93</v>
      </c>
      <c r="S96" s="323"/>
    </row>
    <row r="97" spans="7:18" ht="15">
      <c r="G97" s="221"/>
      <c r="I97" s="343"/>
      <c r="R97" s="344"/>
    </row>
    <row r="98" spans="7:18">
      <c r="G98" s="221"/>
    </row>
    <row r="99" spans="7:18">
      <c r="G99" s="221"/>
    </row>
    <row r="100" spans="7:18">
      <c r="G100" s="221"/>
    </row>
    <row r="101" spans="7:18">
      <c r="G101" s="221"/>
    </row>
    <row r="102" spans="7:18">
      <c r="G102" s="221"/>
    </row>
    <row r="103" spans="7:18">
      <c r="G103" s="221"/>
    </row>
    <row r="104" spans="7:18">
      <c r="G104" s="221"/>
    </row>
    <row r="105" spans="7:18">
      <c r="G105" s="221"/>
    </row>
    <row r="106" spans="7:18">
      <c r="G106" s="221"/>
    </row>
    <row r="107" spans="7:18">
      <c r="G107" s="221"/>
    </row>
    <row r="108" spans="7:18">
      <c r="G108" s="221"/>
    </row>
    <row r="109" spans="7:18">
      <c r="G109" s="221"/>
    </row>
    <row r="110" spans="7:18">
      <c r="G110" s="221"/>
    </row>
    <row r="111" spans="7:18">
      <c r="G111" s="221"/>
    </row>
    <row r="112" spans="7:18">
      <c r="G112" s="221"/>
    </row>
    <row r="113" spans="7:7">
      <c r="G113" s="345"/>
    </row>
  </sheetData>
  <mergeCells count="81">
    <mergeCell ref="A56:A59"/>
    <mergeCell ref="A60:A61"/>
    <mergeCell ref="A65:A76"/>
    <mergeCell ref="R82:R83"/>
    <mergeCell ref="K91:L92"/>
    <mergeCell ref="C84:D85"/>
    <mergeCell ref="K84:L85"/>
    <mergeCell ref="K89:L90"/>
    <mergeCell ref="C82:D83"/>
    <mergeCell ref="K82:L83"/>
    <mergeCell ref="O82:Q83"/>
    <mergeCell ref="G82:I83"/>
    <mergeCell ref="J82:J83"/>
    <mergeCell ref="M82:M83"/>
    <mergeCell ref="M84:M85"/>
    <mergeCell ref="N82:N83"/>
    <mergeCell ref="N84:N85"/>
    <mergeCell ref="C92:E92"/>
    <mergeCell ref="C95:E95"/>
    <mergeCell ref="G95:J95"/>
    <mergeCell ref="K95:L95"/>
    <mergeCell ref="M95:S95"/>
    <mergeCell ref="A78:A79"/>
    <mergeCell ref="E82:E83"/>
    <mergeCell ref="E84:E85"/>
    <mergeCell ref="F82:F83"/>
    <mergeCell ref="F84:F85"/>
    <mergeCell ref="C81:E81"/>
    <mergeCell ref="C91:E91"/>
    <mergeCell ref="G91:I91"/>
    <mergeCell ref="M91:N91"/>
    <mergeCell ref="O91:P91"/>
    <mergeCell ref="Q91:R91"/>
    <mergeCell ref="M92:N92"/>
    <mergeCell ref="C90:E90"/>
    <mergeCell ref="G90:I90"/>
    <mergeCell ref="M90:N90"/>
    <mergeCell ref="O90:S90"/>
    <mergeCell ref="C94:E94"/>
    <mergeCell ref="G94:J94"/>
    <mergeCell ref="K94:L94"/>
    <mergeCell ref="M94:S94"/>
    <mergeCell ref="O92:S92"/>
    <mergeCell ref="C93:E93"/>
    <mergeCell ref="G93:I93"/>
    <mergeCell ref="K93:L93"/>
    <mergeCell ref="M93:S93"/>
    <mergeCell ref="G92:I92"/>
    <mergeCell ref="K87:M87"/>
    <mergeCell ref="C89:E89"/>
    <mergeCell ref="G89:I89"/>
    <mergeCell ref="M89:N89"/>
    <mergeCell ref="O89:P89"/>
    <mergeCell ref="K88:S88"/>
    <mergeCell ref="Q89:R89"/>
    <mergeCell ref="G85:I85"/>
    <mergeCell ref="O85:Q85"/>
    <mergeCell ref="A86:E86"/>
    <mergeCell ref="G86:I86"/>
    <mergeCell ref="K86:M86"/>
    <mergeCell ref="O86:Q86"/>
    <mergeCell ref="K81:M81"/>
    <mergeCell ref="O81:Q81"/>
    <mergeCell ref="G84:I84"/>
    <mergeCell ref="O84:Q84"/>
    <mergeCell ref="O6:R6"/>
    <mergeCell ref="A1:J1"/>
    <mergeCell ref="K1:S1"/>
    <mergeCell ref="G2:J2"/>
    <mergeCell ref="K2:S2"/>
    <mergeCell ref="B3:E3"/>
    <mergeCell ref="G3:J3"/>
    <mergeCell ref="K3:S3"/>
    <mergeCell ref="K6:N6"/>
    <mergeCell ref="G5:J5"/>
    <mergeCell ref="A6:B6"/>
    <mergeCell ref="C6:F6"/>
    <mergeCell ref="G6:J6"/>
    <mergeCell ref="A3:A5"/>
    <mergeCell ref="B4:E4"/>
    <mergeCell ref="G4:J4"/>
  </mergeCells>
  <phoneticPr fontId="19" type="noConversion"/>
  <hyperlinks>
    <hyperlink ref="R96" location="填写首页!A1" display="点击返回首页" xr:uid="{00000000-0004-0000-0000-000000000000}"/>
    <hyperlink ref="I96" location="填写首页!A1" display="点击返回首页" xr:uid="{00000000-0004-0000-0000-000001000000}"/>
  </hyperlinks>
  <printOptions horizontalCentered="1"/>
  <pageMargins left="0" right="0" top="0.156944444444444" bottom="0.156944444444444" header="0.31458333333333299" footer="0.31458333333333299"/>
  <pageSetup paperSize="9" scale="50" fitToHeight="0" orientation="landscape"/>
  <rowBreaks count="2" manualBreakCount="2">
    <brk id="79" max="16383" man="1"/>
    <brk id="9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0"/>
  <sheetViews>
    <sheetView zoomScale="114" zoomScaleNormal="85" workbookViewId="0">
      <pane xSplit="2" ySplit="3" topLeftCell="C4" activePane="bottomRight" state="frozen"/>
      <selection pane="topRight"/>
      <selection pane="bottomLeft"/>
      <selection pane="bottomRight" activeCell="E21" sqref="E21"/>
    </sheetView>
  </sheetViews>
  <sheetFormatPr baseColWidth="10" defaultColWidth="9" defaultRowHeight="15"/>
  <cols>
    <col min="1" max="1" width="19" style="176" customWidth="1"/>
    <col min="2" max="2" width="37.1640625" style="177" customWidth="1"/>
    <col min="3" max="3" width="17" style="178" customWidth="1"/>
    <col min="4" max="4" width="14.1640625" style="177" customWidth="1"/>
    <col min="5" max="5" width="16.6640625" style="177" customWidth="1"/>
    <col min="6" max="6" width="33.6640625" style="177" customWidth="1"/>
    <col min="7" max="7" width="32.5" style="179" customWidth="1"/>
    <col min="8" max="8" width="13.1640625" style="177" customWidth="1"/>
    <col min="9" max="9" width="5.6640625" style="177" customWidth="1"/>
    <col min="10" max="10" width="11.33203125" style="177" customWidth="1"/>
    <col min="11" max="11" width="9.33203125" style="177" customWidth="1"/>
    <col min="12" max="12" width="14.6640625" style="177" customWidth="1"/>
    <col min="13" max="16384" width="9" style="177"/>
  </cols>
  <sheetData>
    <row r="1" spans="1:9" ht="21.75" customHeight="1">
      <c r="B1" s="424" t="s">
        <v>94</v>
      </c>
      <c r="C1" s="424"/>
      <c r="D1" s="424"/>
      <c r="E1" s="424"/>
      <c r="F1" s="424"/>
      <c r="G1" s="424"/>
      <c r="H1" s="425"/>
      <c r="I1" s="180"/>
    </row>
    <row r="2" spans="1:9" s="175" customFormat="1" ht="20.25" customHeight="1">
      <c r="A2" s="181" t="s">
        <v>95</v>
      </c>
      <c r="B2" s="426" t="s">
        <v>295</v>
      </c>
      <c r="C2" s="427"/>
      <c r="D2" s="427"/>
      <c r="E2" s="427"/>
      <c r="F2" s="428"/>
      <c r="G2" s="427"/>
      <c r="H2" s="429"/>
    </row>
    <row r="3" spans="1:9" s="175" customFormat="1" ht="36" customHeight="1">
      <c r="A3" s="182" t="s">
        <v>96</v>
      </c>
      <c r="B3" s="183" t="s">
        <v>97</v>
      </c>
      <c r="C3" s="184" t="s">
        <v>98</v>
      </c>
      <c r="D3" s="185" t="s">
        <v>99</v>
      </c>
      <c r="E3" s="183" t="s">
        <v>100</v>
      </c>
      <c r="F3" s="183" t="s">
        <v>101</v>
      </c>
      <c r="G3" s="185" t="s">
        <v>16</v>
      </c>
      <c r="H3" s="186" t="s">
        <v>102</v>
      </c>
    </row>
    <row r="4" spans="1:9" s="175" customFormat="1" ht="28" customHeight="1">
      <c r="A4" s="187">
        <v>46257</v>
      </c>
      <c r="B4" s="188" t="s">
        <v>103</v>
      </c>
      <c r="C4" s="189">
        <v>0</v>
      </c>
      <c r="D4" s="188" t="s">
        <v>104</v>
      </c>
      <c r="E4" s="187">
        <v>46257</v>
      </c>
      <c r="F4" s="190"/>
      <c r="G4" s="191"/>
      <c r="H4" s="192" t="s">
        <v>9</v>
      </c>
    </row>
    <row r="5" spans="1:9" s="175" customFormat="1" ht="28" customHeight="1">
      <c r="A5" s="187">
        <v>46257</v>
      </c>
      <c r="B5" s="188" t="s">
        <v>105</v>
      </c>
      <c r="C5" s="189">
        <v>0</v>
      </c>
      <c r="D5" s="188" t="s">
        <v>104</v>
      </c>
      <c r="E5" s="187">
        <v>46257</v>
      </c>
      <c r="F5" s="190"/>
      <c r="G5" s="191"/>
      <c r="H5" s="192"/>
    </row>
    <row r="6" spans="1:9" s="175" customFormat="1" ht="28" customHeight="1">
      <c r="A6" s="187">
        <v>46257</v>
      </c>
      <c r="B6" s="188" t="s">
        <v>292</v>
      </c>
      <c r="C6" s="189">
        <v>0</v>
      </c>
      <c r="D6" s="188" t="s">
        <v>104</v>
      </c>
      <c r="E6" s="187">
        <v>46257</v>
      </c>
      <c r="F6" s="191"/>
      <c r="G6" s="191"/>
      <c r="H6" s="192" t="s">
        <v>9</v>
      </c>
    </row>
    <row r="7" spans="1:9" s="175" customFormat="1" ht="28" customHeight="1">
      <c r="A7" s="187">
        <v>46257</v>
      </c>
      <c r="B7" s="188" t="s">
        <v>106</v>
      </c>
      <c r="C7" s="189">
        <v>0</v>
      </c>
      <c r="D7" s="188" t="s">
        <v>104</v>
      </c>
      <c r="E7" s="187">
        <v>46257</v>
      </c>
      <c r="F7" s="190"/>
      <c r="G7" s="191"/>
      <c r="H7" s="192" t="s">
        <v>9</v>
      </c>
    </row>
    <row r="8" spans="1:9" s="175" customFormat="1" ht="28" customHeight="1">
      <c r="A8" s="187">
        <v>46257</v>
      </c>
      <c r="B8" s="188" t="s">
        <v>107</v>
      </c>
      <c r="C8" s="189">
        <f>'项目预算表-项目决算表'!G66</f>
        <v>1000</v>
      </c>
      <c r="D8" s="188" t="s">
        <v>104</v>
      </c>
      <c r="E8" s="187">
        <v>46257</v>
      </c>
      <c r="F8" s="190"/>
      <c r="G8" s="191"/>
      <c r="H8" s="192" t="s">
        <v>9</v>
      </c>
    </row>
    <row r="9" spans="1:9" s="175" customFormat="1" ht="28" customHeight="1">
      <c r="A9" s="187">
        <v>46257</v>
      </c>
      <c r="B9" s="188" t="s">
        <v>290</v>
      </c>
      <c r="C9" s="189">
        <v>0</v>
      </c>
      <c r="D9" s="188" t="s">
        <v>104</v>
      </c>
      <c r="E9" s="187">
        <v>46257</v>
      </c>
      <c r="F9" s="190"/>
      <c r="G9" s="191"/>
      <c r="H9" s="192" t="s">
        <v>9</v>
      </c>
    </row>
    <row r="10" spans="1:9" s="175" customFormat="1" ht="28" customHeight="1">
      <c r="A10" s="187">
        <v>46257</v>
      </c>
      <c r="B10" s="188" t="s">
        <v>108</v>
      </c>
      <c r="C10" s="189">
        <f>'项目预算表-项目决算表'!J69</f>
        <v>0</v>
      </c>
      <c r="D10" s="346" t="s">
        <v>109</v>
      </c>
      <c r="E10" s="187">
        <v>46257</v>
      </c>
      <c r="F10" s="190"/>
      <c r="G10" s="191"/>
      <c r="H10" s="192" t="s">
        <v>9</v>
      </c>
    </row>
    <row r="11" spans="1:9" s="175" customFormat="1" ht="28" customHeight="1">
      <c r="A11" s="187">
        <v>46257</v>
      </c>
      <c r="B11" s="188" t="s">
        <v>110</v>
      </c>
      <c r="C11" s="189">
        <f>'项目预算表-项目决算表'!J65</f>
        <v>70</v>
      </c>
      <c r="D11" s="346" t="s">
        <v>109</v>
      </c>
      <c r="E11" s="187">
        <v>46257</v>
      </c>
      <c r="F11" s="190"/>
      <c r="G11" s="191"/>
      <c r="H11" s="192" t="s">
        <v>9</v>
      </c>
    </row>
    <row r="12" spans="1:9" s="175" customFormat="1" ht="28" customHeight="1">
      <c r="A12" s="187">
        <v>46257</v>
      </c>
      <c r="B12" s="188" t="s">
        <v>111</v>
      </c>
      <c r="C12" s="189">
        <v>0</v>
      </c>
      <c r="D12" s="346" t="s">
        <v>109</v>
      </c>
      <c r="E12" s="187">
        <v>46257</v>
      </c>
      <c r="F12" s="193"/>
      <c r="G12" s="191"/>
      <c r="H12" s="192"/>
    </row>
    <row r="13" spans="1:9" s="175" customFormat="1" ht="30" customHeight="1">
      <c r="A13" s="187">
        <v>46257</v>
      </c>
      <c r="B13" s="188" t="s">
        <v>112</v>
      </c>
      <c r="C13" s="189">
        <f>'项目预算表-项目决算表'!J69</f>
        <v>0</v>
      </c>
      <c r="D13" s="346" t="s">
        <v>109</v>
      </c>
      <c r="E13" s="187">
        <v>46257</v>
      </c>
      <c r="F13" s="194"/>
      <c r="G13" s="195"/>
      <c r="H13" s="192" t="s">
        <v>9</v>
      </c>
    </row>
    <row r="14" spans="1:9" s="175" customFormat="1" ht="30" customHeight="1">
      <c r="A14" s="187">
        <v>46257</v>
      </c>
      <c r="B14" s="188" t="s">
        <v>113</v>
      </c>
      <c r="C14" s="189">
        <f>'项目预算表-项目决算表'!J69</f>
        <v>0</v>
      </c>
      <c r="D14" s="346" t="s">
        <v>109</v>
      </c>
      <c r="E14" s="187">
        <v>46257</v>
      </c>
      <c r="F14" s="194"/>
      <c r="G14" s="195"/>
      <c r="H14" s="192" t="s">
        <v>9</v>
      </c>
    </row>
    <row r="15" spans="1:9" s="175" customFormat="1" ht="30" customHeight="1">
      <c r="A15" s="187">
        <v>46257</v>
      </c>
      <c r="B15" s="188" t="s">
        <v>114</v>
      </c>
      <c r="C15" s="189">
        <f>'项目预算表-项目决算表'!J73</f>
        <v>120</v>
      </c>
      <c r="D15" s="188" t="s">
        <v>104</v>
      </c>
      <c r="E15" s="187">
        <v>46257</v>
      </c>
      <c r="F15" s="194"/>
      <c r="G15" s="195"/>
      <c r="H15" s="192" t="s">
        <v>9</v>
      </c>
    </row>
    <row r="16" spans="1:9" s="175" customFormat="1" ht="30" customHeight="1">
      <c r="A16" s="187">
        <v>46257</v>
      </c>
      <c r="B16" s="188" t="s">
        <v>115</v>
      </c>
      <c r="C16" s="189" cm="1">
        <f t="array" ref="C16:C17">'项目预算表-项目决算表'!F84:F85</f>
        <v>0</v>
      </c>
      <c r="D16" s="188" t="s">
        <v>104</v>
      </c>
      <c r="E16" s="187">
        <v>46257</v>
      </c>
      <c r="F16" s="194"/>
      <c r="G16" s="195"/>
      <c r="H16" s="192" t="s">
        <v>9</v>
      </c>
    </row>
    <row r="17" spans="1:8" s="175" customFormat="1" ht="21" customHeight="1">
      <c r="A17" s="187"/>
      <c r="B17" s="196" t="s">
        <v>116</v>
      </c>
      <c r="C17" s="197">
        <v>0</v>
      </c>
      <c r="D17" s="198"/>
      <c r="E17" s="198"/>
      <c r="F17" s="199"/>
      <c r="G17" s="200"/>
      <c r="H17" s="201"/>
    </row>
    <row r="18" spans="1:8" s="175" customFormat="1" ht="21" customHeight="1">
      <c r="A18" s="187"/>
      <c r="B18" s="202" t="s">
        <v>33</v>
      </c>
      <c r="C18" s="203">
        <f>SUM(C4:C16)</f>
        <v>1190</v>
      </c>
      <c r="D18" s="204"/>
      <c r="E18" s="198"/>
      <c r="F18" s="199"/>
      <c r="G18" s="200"/>
      <c r="H18" s="201"/>
    </row>
    <row r="19" spans="1:8" s="175" customFormat="1" ht="21" customHeight="1">
      <c r="A19" s="187"/>
      <c r="B19" s="202" t="s">
        <v>117</v>
      </c>
      <c r="C19" s="197">
        <f>SUMIF($D$4:$D$13,B19,$C$4:$C$13)</f>
        <v>0</v>
      </c>
      <c r="D19" s="198"/>
      <c r="E19" s="198"/>
      <c r="F19" s="199"/>
      <c r="G19" s="200"/>
      <c r="H19" s="201"/>
    </row>
    <row r="20" spans="1:8" s="175" customFormat="1" ht="21" customHeight="1">
      <c r="A20" s="187"/>
      <c r="B20" s="202" t="s">
        <v>104</v>
      </c>
      <c r="C20" s="197">
        <f>SUMIF($D$4:$D$16,B20,$C$4:$C$16)</f>
        <v>1120</v>
      </c>
      <c r="D20" s="198"/>
      <c r="E20" s="198"/>
      <c r="F20" s="199"/>
      <c r="G20" s="200"/>
      <c r="H20" s="201"/>
    </row>
    <row r="21" spans="1:8" s="175" customFormat="1" ht="21" customHeight="1">
      <c r="A21" s="187"/>
      <c r="B21" s="202" t="s">
        <v>118</v>
      </c>
      <c r="C21" s="197">
        <f>SUMIF($D$4:$D$13,B21,$C$4:$C$13)</f>
        <v>0</v>
      </c>
      <c r="D21" s="198"/>
      <c r="E21" s="198"/>
      <c r="F21" s="199"/>
      <c r="G21" s="200"/>
      <c r="H21" s="201"/>
    </row>
    <row r="22" spans="1:8" s="175" customFormat="1" ht="21" customHeight="1">
      <c r="A22" s="187"/>
      <c r="B22" s="202" t="s">
        <v>109</v>
      </c>
      <c r="C22" s="197">
        <f>SUMIF($D$4:$D$16,B22,$C$4:$C$16)</f>
        <v>70</v>
      </c>
      <c r="D22" s="198"/>
      <c r="E22" s="198"/>
      <c r="F22" s="199"/>
      <c r="G22" s="200"/>
      <c r="H22" s="201"/>
    </row>
    <row r="23" spans="1:8" s="175" customFormat="1" ht="21" customHeight="1">
      <c r="A23" s="187"/>
      <c r="B23" s="205" t="s">
        <v>119</v>
      </c>
      <c r="C23" s="206">
        <f>SUM(C19:C22)</f>
        <v>1190</v>
      </c>
      <c r="D23" s="430" t="s">
        <v>120</v>
      </c>
      <c r="E23" s="430"/>
      <c r="F23" s="430"/>
      <c r="G23" s="430"/>
      <c r="H23" s="431"/>
    </row>
    <row r="24" spans="1:8" s="175" customFormat="1" ht="34.5" customHeight="1">
      <c r="A24" s="187"/>
      <c r="B24" s="207" t="s">
        <v>121</v>
      </c>
      <c r="C24" s="208"/>
      <c r="D24" s="207" t="s">
        <v>122</v>
      </c>
      <c r="E24" s="432"/>
      <c r="F24" s="432"/>
      <c r="G24" s="432"/>
      <c r="H24" s="433"/>
    </row>
    <row r="25" spans="1:8">
      <c r="A25" s="209"/>
    </row>
    <row r="26" spans="1:8">
      <c r="A26" s="209"/>
    </row>
    <row r="27" spans="1:8">
      <c r="A27" s="209"/>
    </row>
    <row r="28" spans="1:8">
      <c r="A28" s="209"/>
    </row>
    <row r="29" spans="1:8">
      <c r="A29" s="209"/>
    </row>
    <row r="30" spans="1:8">
      <c r="A30" s="209"/>
    </row>
  </sheetData>
  <autoFilter ref="B3:I24" xr:uid="{00000000-0009-0000-0000-000001000000}"/>
  <mergeCells count="4">
    <mergeCell ref="B1:H1"/>
    <mergeCell ref="B2:H2"/>
    <mergeCell ref="D23:H23"/>
    <mergeCell ref="E24:H24"/>
  </mergeCells>
  <phoneticPr fontId="19" type="noConversion"/>
  <dataValidations count="1">
    <dataValidation type="list" allowBlank="1" showInputMessage="1" showErrorMessage="1" sqref="D4:D17" xr:uid="{00000000-0002-0000-0100-000000000000}">
      <formula1>$B$19:$B$22</formula1>
    </dataValidation>
  </dataValidations>
  <pageMargins left="0.78888888888888897" right="0.196527777777778" top="0.47152777777777799" bottom="0.98402777777777795" header="0.62916666666666698" footer="0.51180555555555596"/>
  <pageSetup paperSize="9" scale="7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4"/>
  <sheetViews>
    <sheetView zoomScale="99" workbookViewId="0">
      <selection activeCell="G18" sqref="G18"/>
    </sheetView>
  </sheetViews>
  <sheetFormatPr baseColWidth="10" defaultColWidth="9" defaultRowHeight="15"/>
  <cols>
    <col min="1" max="1" width="35.33203125" style="166" customWidth="1"/>
    <col min="2" max="2" width="36" style="166" customWidth="1"/>
    <col min="3" max="3" width="19" style="167" customWidth="1"/>
  </cols>
  <sheetData>
    <row r="1" spans="1:3" ht="36" customHeight="1">
      <c r="A1" s="434" t="s">
        <v>123</v>
      </c>
      <c r="B1" s="434"/>
      <c r="C1" s="434"/>
    </row>
    <row r="2" spans="1:3" ht="16" customHeight="1">
      <c r="A2" s="435" t="s">
        <v>124</v>
      </c>
      <c r="B2" s="436"/>
      <c r="C2" s="437"/>
    </row>
    <row r="3" spans="1:3" ht="16" customHeight="1">
      <c r="A3" s="168" t="s">
        <v>125</v>
      </c>
      <c r="B3" s="438" t="s">
        <v>126</v>
      </c>
      <c r="C3" s="439"/>
    </row>
    <row r="4" spans="1:3" ht="16" customHeight="1">
      <c r="A4" s="168" t="s">
        <v>127</v>
      </c>
      <c r="B4" s="438" t="s">
        <v>128</v>
      </c>
      <c r="C4" s="439"/>
    </row>
    <row r="5" spans="1:3" ht="16" customHeight="1">
      <c r="A5" s="169" t="s">
        <v>129</v>
      </c>
      <c r="B5" s="170" t="s">
        <v>130</v>
      </c>
      <c r="C5" s="171" t="s">
        <v>131</v>
      </c>
    </row>
    <row r="6" spans="1:3" ht="16" customHeight="1">
      <c r="A6" s="169" t="s">
        <v>132</v>
      </c>
      <c r="B6" s="170" t="s">
        <v>133</v>
      </c>
      <c r="C6" s="171" t="s">
        <v>131</v>
      </c>
    </row>
    <row r="7" spans="1:3" ht="16" customHeight="1">
      <c r="A7" s="169" t="s">
        <v>134</v>
      </c>
      <c r="B7" s="170" t="s">
        <v>135</v>
      </c>
      <c r="C7" s="171" t="s">
        <v>131</v>
      </c>
    </row>
    <row r="8" spans="1:3" ht="16" customHeight="1">
      <c r="A8" s="169" t="s">
        <v>136</v>
      </c>
      <c r="B8" s="170" t="s">
        <v>137</v>
      </c>
      <c r="C8" s="171" t="s">
        <v>131</v>
      </c>
    </row>
    <row r="9" spans="1:3" ht="16" customHeight="1">
      <c r="A9" s="169" t="s">
        <v>138</v>
      </c>
      <c r="B9" s="170" t="s">
        <v>139</v>
      </c>
      <c r="C9" s="171" t="s">
        <v>131</v>
      </c>
    </row>
    <row r="10" spans="1:3" ht="16" customHeight="1">
      <c r="A10" s="440" t="s">
        <v>140</v>
      </c>
      <c r="B10" s="441"/>
      <c r="C10" s="442"/>
    </row>
    <row r="11" spans="1:3" ht="16" customHeight="1">
      <c r="A11" s="169" t="s">
        <v>141</v>
      </c>
      <c r="B11" s="170" t="s">
        <v>142</v>
      </c>
      <c r="C11" s="171" t="s">
        <v>131</v>
      </c>
    </row>
    <row r="12" spans="1:3" ht="16" customHeight="1">
      <c r="A12" s="169" t="s">
        <v>141</v>
      </c>
      <c r="B12" s="170" t="s">
        <v>143</v>
      </c>
      <c r="C12" s="171" t="s">
        <v>131</v>
      </c>
    </row>
    <row r="13" spans="1:3" ht="16" customHeight="1">
      <c r="A13" s="169" t="s">
        <v>141</v>
      </c>
      <c r="B13" s="170" t="s">
        <v>144</v>
      </c>
      <c r="C13" s="171" t="s">
        <v>131</v>
      </c>
    </row>
    <row r="14" spans="1:3" ht="16" customHeight="1">
      <c r="A14" s="172" t="s">
        <v>145</v>
      </c>
      <c r="B14" s="173" t="s">
        <v>146</v>
      </c>
      <c r="C14" s="174" t="s">
        <v>131</v>
      </c>
    </row>
  </sheetData>
  <mergeCells count="5">
    <mergeCell ref="A1:C1"/>
    <mergeCell ref="A2:C2"/>
    <mergeCell ref="B3:C3"/>
    <mergeCell ref="B4:C4"/>
    <mergeCell ref="A10:C10"/>
  </mergeCells>
  <phoneticPr fontId="19" type="noConversion"/>
  <hyperlinks>
    <hyperlink ref="C5" location="'项目预算表-项目决算表'!A1" display="点击进入填写" xr:uid="{00000000-0004-0000-0200-000000000000}"/>
    <hyperlink ref="C6" location="用款申请表!A1" display="点击进入填写" xr:uid="{00000000-0004-0000-0200-000001000000}"/>
    <hyperlink ref="C7" location="项目收支明细表!A1" display="点击进入填写" xr:uid="{00000000-0004-0000-0200-000002000000}"/>
    <hyperlink ref="C8" location="'项目预算表-项目决算表'!K1" display="点击进入填写" xr:uid="{00000000-0004-0000-0200-000003000000}"/>
    <hyperlink ref="C9" location="项目清算表!A1" display="点击进入填写" xr:uid="{00000000-0004-0000-0200-000004000000}"/>
    <hyperlink ref="C12" location="人补单!A1" display="点击进入填写" xr:uid="{00000000-0004-0000-0200-000005000000}"/>
    <hyperlink ref="C13" location="车补单!A1" display="点击进入填写" xr:uid="{00000000-0004-0000-0200-000006000000}"/>
    <hyperlink ref="C11" location="协助人及公关策划部奖金表!A1" display="点击进入填写" xr:uid="{00000000-0004-0000-0200-000007000000}"/>
    <hyperlink ref="C14" location="旅游团队名单表!A1" display="点击进入填写" xr:uid="{00000000-0004-0000-0200-000008000000}"/>
  </hyperlinks>
  <pageMargins left="1.61" right="0.70866141732283505" top="0.39" bottom="0.74803149606299202" header="0.31496062992126" footer="0.3149606299212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18"/>
  <sheetViews>
    <sheetView view="pageBreakPreview" zoomScaleNormal="100" workbookViewId="0">
      <selection activeCell="A5" sqref="A5"/>
    </sheetView>
  </sheetViews>
  <sheetFormatPr baseColWidth="10" defaultColWidth="9" defaultRowHeight="15"/>
  <cols>
    <col min="1" max="1" width="12" customWidth="1"/>
    <col min="2" max="2" width="14.6640625" customWidth="1"/>
    <col min="3" max="4" width="23.33203125" customWidth="1"/>
    <col min="5" max="5" width="17.83203125" customWidth="1"/>
    <col min="6" max="6" width="16.6640625" customWidth="1"/>
    <col min="7" max="7" width="14.33203125" customWidth="1"/>
    <col min="8" max="8" width="15.5" customWidth="1"/>
    <col min="9" max="9" width="15.33203125" customWidth="1"/>
    <col min="10" max="10" width="27" customWidth="1"/>
    <col min="11" max="11" width="12.33203125" customWidth="1"/>
    <col min="13" max="13" width="20.5" customWidth="1"/>
  </cols>
  <sheetData>
    <row r="1" spans="1:13" ht="17">
      <c r="A1" s="443" t="s">
        <v>147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</row>
    <row r="2" spans="1:13" ht="30" customHeight="1">
      <c r="A2" s="444" t="s">
        <v>311</v>
      </c>
      <c r="B2" s="445"/>
      <c r="C2" s="445"/>
      <c r="D2" s="446"/>
      <c r="E2" s="447"/>
      <c r="F2" s="447"/>
      <c r="G2" s="447"/>
      <c r="H2" s="447"/>
      <c r="I2" s="447"/>
      <c r="J2" s="447"/>
      <c r="K2" s="447"/>
      <c r="L2" s="447"/>
      <c r="M2" s="447"/>
    </row>
    <row r="3" spans="1:13" ht="14.25" customHeight="1">
      <c r="A3" s="451" t="s">
        <v>148</v>
      </c>
      <c r="B3" s="451" t="s">
        <v>149</v>
      </c>
      <c r="C3" s="451" t="s">
        <v>150</v>
      </c>
      <c r="D3" s="451" t="s">
        <v>151</v>
      </c>
      <c r="E3" s="451" t="s">
        <v>152</v>
      </c>
      <c r="F3" s="453" t="s">
        <v>153</v>
      </c>
      <c r="G3" s="453" t="s">
        <v>154</v>
      </c>
      <c r="H3" s="453" t="s">
        <v>155</v>
      </c>
      <c r="I3" s="451" t="s">
        <v>156</v>
      </c>
      <c r="J3" s="444" t="s">
        <v>33</v>
      </c>
      <c r="K3" s="445"/>
      <c r="L3" s="448"/>
      <c r="M3" s="455" t="s">
        <v>157</v>
      </c>
    </row>
    <row r="4" spans="1:13">
      <c r="A4" s="452"/>
      <c r="B4" s="452"/>
      <c r="C4" s="452"/>
      <c r="D4" s="452"/>
      <c r="E4" s="452"/>
      <c r="F4" s="454"/>
      <c r="G4" s="452"/>
      <c r="H4" s="452"/>
      <c r="I4" s="452"/>
      <c r="J4" s="149" t="s">
        <v>158</v>
      </c>
      <c r="K4" s="148" t="s">
        <v>44</v>
      </c>
      <c r="L4" s="148" t="s">
        <v>159</v>
      </c>
      <c r="M4" s="455"/>
    </row>
    <row r="5" spans="1:13">
      <c r="A5" s="150" t="s">
        <v>9</v>
      </c>
      <c r="B5" s="150" t="s">
        <v>160</v>
      </c>
      <c r="C5" s="150" t="s">
        <v>161</v>
      </c>
      <c r="D5" s="151" t="s">
        <v>296</v>
      </c>
      <c r="E5" s="151" t="s">
        <v>296</v>
      </c>
      <c r="F5" s="150"/>
      <c r="G5" s="152">
        <v>120</v>
      </c>
      <c r="H5" s="150"/>
      <c r="I5" s="150">
        <v>1</v>
      </c>
      <c r="J5" s="150">
        <f>SUM(G5*I5)</f>
        <v>120</v>
      </c>
      <c r="K5" s="153"/>
      <c r="L5" s="153"/>
      <c r="M5" s="154"/>
    </row>
    <row r="6" spans="1:13">
      <c r="A6" s="150" t="s">
        <v>162</v>
      </c>
      <c r="B6" s="152"/>
      <c r="C6" s="152"/>
      <c r="D6" s="152"/>
      <c r="E6" s="152"/>
      <c r="F6" s="152"/>
      <c r="G6" s="152">
        <f>SUM(G5:G5)</f>
        <v>120</v>
      </c>
      <c r="H6" s="152"/>
      <c r="I6" s="152"/>
      <c r="J6" s="150">
        <f>SUM(J5:J5)</f>
        <v>120</v>
      </c>
      <c r="K6" s="150">
        <f>SUM(K5:K5)</f>
        <v>0</v>
      </c>
      <c r="L6" s="150">
        <f>SUM(L5:L5)</f>
        <v>0</v>
      </c>
      <c r="M6" s="152"/>
    </row>
    <row r="7" spans="1:13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</row>
    <row r="8" spans="1:13">
      <c r="A8" s="449" t="s">
        <v>293</v>
      </c>
      <c r="B8" s="449"/>
      <c r="C8" s="156"/>
      <c r="D8" s="450" t="s">
        <v>294</v>
      </c>
      <c r="E8" s="450"/>
      <c r="I8" s="157" t="s">
        <v>163</v>
      </c>
      <c r="J8" s="158"/>
      <c r="K8" s="158"/>
      <c r="L8" s="158"/>
    </row>
    <row r="9" spans="1:13">
      <c r="A9" s="156"/>
      <c r="B9" s="156"/>
      <c r="C9" s="156"/>
      <c r="D9" s="156"/>
      <c r="E9" s="158"/>
      <c r="F9" s="157"/>
      <c r="G9" s="157"/>
      <c r="H9" s="157"/>
      <c r="I9" s="158"/>
      <c r="J9" s="158"/>
      <c r="K9" s="158"/>
      <c r="L9" s="158"/>
      <c r="M9" s="159"/>
    </row>
    <row r="10" spans="1:13">
      <c r="A10" s="459" t="s">
        <v>164</v>
      </c>
      <c r="B10" s="460"/>
      <c r="C10" s="460"/>
      <c r="D10" s="460"/>
      <c r="E10" s="461"/>
      <c r="F10" s="160"/>
      <c r="G10" s="160"/>
      <c r="H10" s="160"/>
      <c r="I10" s="138"/>
    </row>
    <row r="11" spans="1:13">
      <c r="A11" s="462" t="s">
        <v>149</v>
      </c>
      <c r="B11" s="463"/>
      <c r="C11" s="464"/>
      <c r="D11" s="161" t="s">
        <v>159</v>
      </c>
      <c r="E11" s="161" t="s">
        <v>158</v>
      </c>
      <c r="F11" s="162"/>
      <c r="G11" s="162"/>
      <c r="H11" s="162"/>
    </row>
    <row r="12" spans="1:13">
      <c r="A12" s="456" t="s">
        <v>165</v>
      </c>
      <c r="B12" s="457"/>
      <c r="C12" s="458"/>
      <c r="D12" s="163">
        <v>120</v>
      </c>
      <c r="E12" s="163">
        <v>70</v>
      </c>
      <c r="F12" s="164"/>
      <c r="G12" s="164"/>
      <c r="H12" s="164"/>
      <c r="I12" s="165"/>
    </row>
    <row r="13" spans="1:13">
      <c r="A13" s="456" t="s">
        <v>166</v>
      </c>
      <c r="B13" s="457"/>
      <c r="C13" s="458"/>
      <c r="D13" s="163">
        <v>240</v>
      </c>
      <c r="E13" s="163">
        <v>120</v>
      </c>
      <c r="F13" s="164"/>
      <c r="G13" s="164"/>
      <c r="H13" s="164"/>
      <c r="I13" s="165"/>
    </row>
    <row r="14" spans="1:13" ht="13.5" customHeight="1">
      <c r="A14" s="456" t="s">
        <v>167</v>
      </c>
      <c r="B14" s="457"/>
      <c r="C14" s="458"/>
      <c r="D14" s="163">
        <v>360</v>
      </c>
      <c r="E14" s="163">
        <v>120</v>
      </c>
      <c r="F14" s="164"/>
      <c r="G14" s="164"/>
      <c r="H14" s="164"/>
      <c r="I14" s="165"/>
    </row>
    <row r="15" spans="1:13">
      <c r="A15" s="456" t="s">
        <v>168</v>
      </c>
      <c r="B15" s="457"/>
      <c r="C15" s="458"/>
      <c r="D15" s="163">
        <v>460</v>
      </c>
      <c r="E15" s="163">
        <v>120</v>
      </c>
      <c r="F15" s="164"/>
      <c r="G15" s="164"/>
      <c r="H15" s="164"/>
      <c r="I15" s="165"/>
    </row>
    <row r="16" spans="1:13">
      <c r="A16" s="456" t="s">
        <v>169</v>
      </c>
      <c r="B16" s="457"/>
      <c r="C16" s="458"/>
      <c r="D16" s="163">
        <v>600</v>
      </c>
      <c r="E16" s="163">
        <v>120</v>
      </c>
      <c r="F16" s="164"/>
      <c r="G16" s="164"/>
      <c r="H16" s="164"/>
      <c r="I16" s="157"/>
    </row>
    <row r="17" spans="1:9">
      <c r="A17" s="456" t="s">
        <v>170</v>
      </c>
      <c r="B17" s="457"/>
      <c r="C17" s="458"/>
      <c r="D17" s="163">
        <v>600</v>
      </c>
      <c r="E17" s="163">
        <v>0</v>
      </c>
      <c r="F17" s="164"/>
      <c r="G17" s="164"/>
      <c r="H17" s="164"/>
      <c r="I17" s="157"/>
    </row>
    <row r="18" spans="1:9">
      <c r="A18" s="456" t="s">
        <v>171</v>
      </c>
      <c r="B18" s="457"/>
      <c r="C18" s="458"/>
      <c r="D18" s="163">
        <v>800</v>
      </c>
      <c r="E18" s="163">
        <v>0</v>
      </c>
      <c r="F18" s="164"/>
      <c r="G18" s="164"/>
      <c r="H18" s="164"/>
      <c r="I18" s="157"/>
    </row>
  </sheetData>
  <mergeCells count="25">
    <mergeCell ref="A15:C15"/>
    <mergeCell ref="A16:C16"/>
    <mergeCell ref="A17:C17"/>
    <mergeCell ref="A18:C18"/>
    <mergeCell ref="A3:A4"/>
    <mergeCell ref="B3:B4"/>
    <mergeCell ref="C3:C4"/>
    <mergeCell ref="A10:E10"/>
    <mergeCell ref="A11:C11"/>
    <mergeCell ref="A12:C12"/>
    <mergeCell ref="A13:C13"/>
    <mergeCell ref="A14:C14"/>
    <mergeCell ref="A1:M1"/>
    <mergeCell ref="A2:C2"/>
    <mergeCell ref="D2:M2"/>
    <mergeCell ref="J3:L3"/>
    <mergeCell ref="A8:B8"/>
    <mergeCell ref="D8:E8"/>
    <mergeCell ref="D3:D4"/>
    <mergeCell ref="E3:E4"/>
    <mergeCell ref="F3:F4"/>
    <mergeCell ref="G3:G4"/>
    <mergeCell ref="H3:H4"/>
    <mergeCell ref="I3:I4"/>
    <mergeCell ref="M3:M4"/>
  </mergeCells>
  <phoneticPr fontId="19" type="noConversion"/>
  <hyperlinks>
    <hyperlink ref="J8" location="填写首页!A1" display="填写首页!A1" xr:uid="{00000000-0004-0000-0300-000000000000}"/>
  </hyperlinks>
  <pageMargins left="0" right="0" top="0.21249999999999999" bottom="0.21249999999999999" header="0.5" footer="0.5"/>
  <pageSetup paperSize="9" scale="59" fitToHeight="0" orientation="landscape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L100"/>
  <sheetViews>
    <sheetView view="pageBreakPreview" zoomScaleNormal="100" workbookViewId="0">
      <pane xSplit="4" ySplit="14" topLeftCell="E15" activePane="bottomRight" state="frozen"/>
      <selection pane="topRight"/>
      <selection pane="bottomLeft"/>
      <selection pane="bottomRight" activeCell="A13" sqref="A13:H13"/>
    </sheetView>
  </sheetViews>
  <sheetFormatPr baseColWidth="10" defaultColWidth="9" defaultRowHeight="14.5" customHeight="1"/>
  <cols>
    <col min="1" max="1" width="4.1640625" style="61" customWidth="1"/>
    <col min="2" max="2" width="13.5" style="61" customWidth="1"/>
    <col min="3" max="4" width="10.5" style="61" customWidth="1"/>
    <col min="5" max="5" width="40.6640625" style="62" customWidth="1"/>
    <col min="6" max="6" width="8.33203125" style="61" customWidth="1"/>
    <col min="7" max="8" width="6.5" style="61" customWidth="1"/>
    <col min="9" max="9" width="12.6640625" style="63" customWidth="1"/>
    <col min="10" max="10" width="9.1640625" style="61" customWidth="1"/>
    <col min="11" max="11" width="24" style="61" customWidth="1"/>
    <col min="12" max="12" width="10.1640625" style="61" customWidth="1"/>
    <col min="13" max="14" width="9" style="61"/>
    <col min="15" max="15" width="22.5" style="61" customWidth="1"/>
    <col min="16" max="16384" width="9" style="61"/>
  </cols>
  <sheetData>
    <row r="1" spans="1:12" ht="21.75" customHeight="1">
      <c r="A1" s="470" t="s">
        <v>172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2"/>
    </row>
    <row r="2" spans="1:12" ht="15" hidden="1" customHeight="1">
      <c r="A2" s="64"/>
      <c r="B2" s="65"/>
      <c r="C2" s="65"/>
      <c r="D2" s="61" t="s">
        <v>173</v>
      </c>
      <c r="E2" s="66" t="s">
        <v>36</v>
      </c>
      <c r="F2" s="65"/>
      <c r="G2" s="65"/>
      <c r="H2" s="65"/>
      <c r="I2" s="65"/>
      <c r="J2" s="65" t="s">
        <v>174</v>
      </c>
      <c r="K2" s="65"/>
      <c r="L2" s="67"/>
    </row>
    <row r="3" spans="1:12" ht="15" hidden="1" customHeight="1">
      <c r="A3" s="64"/>
      <c r="B3" s="65"/>
      <c r="C3" s="65"/>
      <c r="D3" s="61" t="s">
        <v>175</v>
      </c>
      <c r="E3" s="66" t="s">
        <v>35</v>
      </c>
      <c r="F3" s="65"/>
      <c r="G3" s="65"/>
      <c r="H3" s="65"/>
      <c r="I3" s="65"/>
      <c r="J3" s="65"/>
      <c r="K3" s="65"/>
      <c r="L3" s="67"/>
    </row>
    <row r="4" spans="1:12" ht="15" hidden="1" customHeight="1">
      <c r="A4" s="64"/>
      <c r="B4" s="65"/>
      <c r="C4" s="65"/>
      <c r="E4" s="66" t="s">
        <v>41</v>
      </c>
      <c r="F4" s="65"/>
      <c r="G4" s="65"/>
      <c r="H4" s="65"/>
      <c r="I4" s="65"/>
      <c r="J4" s="65"/>
      <c r="K4" s="65"/>
      <c r="L4" s="67"/>
    </row>
    <row r="5" spans="1:12" ht="15" hidden="1" customHeight="1">
      <c r="A5" s="64"/>
      <c r="B5" s="65"/>
      <c r="C5" s="65" t="s">
        <v>176</v>
      </c>
      <c r="D5" s="61" t="s">
        <v>177</v>
      </c>
      <c r="E5" s="66" t="s">
        <v>39</v>
      </c>
      <c r="F5" s="65"/>
      <c r="G5" s="65"/>
      <c r="H5" s="65"/>
      <c r="I5" s="65"/>
      <c r="J5" s="65"/>
      <c r="K5" s="65"/>
      <c r="L5" s="67"/>
    </row>
    <row r="6" spans="1:12" ht="15" hidden="1" customHeight="1">
      <c r="A6" s="64"/>
      <c r="B6" s="65"/>
      <c r="C6" s="65" t="s">
        <v>47</v>
      </c>
      <c r="D6" s="61" t="s">
        <v>47</v>
      </c>
      <c r="E6" s="66" t="s">
        <v>40</v>
      </c>
      <c r="F6" s="65"/>
      <c r="G6" s="65"/>
      <c r="H6" s="65"/>
      <c r="I6" s="65"/>
      <c r="J6" s="65"/>
      <c r="K6" s="65"/>
      <c r="L6" s="67"/>
    </row>
    <row r="7" spans="1:12" ht="15" hidden="1" customHeight="1">
      <c r="A7" s="64"/>
      <c r="B7" s="65"/>
      <c r="C7" s="65"/>
      <c r="E7" s="66" t="s">
        <v>43</v>
      </c>
      <c r="F7" s="65"/>
      <c r="G7" s="65"/>
      <c r="H7" s="65"/>
      <c r="I7" s="65"/>
      <c r="J7" s="65"/>
      <c r="K7" s="65"/>
      <c r="L7" s="67"/>
    </row>
    <row r="8" spans="1:12" ht="15" hidden="1" customHeight="1">
      <c r="A8" s="64"/>
      <c r="B8" s="65"/>
      <c r="C8" s="65"/>
      <c r="E8" s="66" t="s">
        <v>42</v>
      </c>
      <c r="F8" s="65"/>
      <c r="G8" s="65"/>
      <c r="H8" s="65"/>
      <c r="I8" s="65"/>
      <c r="J8" s="65"/>
      <c r="K8" s="65"/>
      <c r="L8" s="67"/>
    </row>
    <row r="9" spans="1:12" ht="15" hidden="1" customHeight="1">
      <c r="A9" s="64"/>
      <c r="B9" s="65"/>
      <c r="C9" s="65"/>
      <c r="E9" s="66" t="s">
        <v>178</v>
      </c>
      <c r="F9" s="65"/>
      <c r="G9" s="65"/>
      <c r="H9" s="65"/>
      <c r="I9" s="65"/>
      <c r="J9" s="65"/>
      <c r="K9" s="65"/>
      <c r="L9" s="67"/>
    </row>
    <row r="10" spans="1:12" ht="15" hidden="1" customHeight="1">
      <c r="A10" s="64"/>
      <c r="B10" s="65"/>
      <c r="C10" s="65"/>
      <c r="E10" s="66" t="s">
        <v>38</v>
      </c>
      <c r="F10" s="65"/>
      <c r="G10" s="65"/>
      <c r="H10" s="65"/>
      <c r="I10" s="65"/>
      <c r="J10" s="65"/>
      <c r="K10" s="65"/>
      <c r="L10" s="67"/>
    </row>
    <row r="11" spans="1:12" ht="15" hidden="1" customHeight="1">
      <c r="A11" s="64"/>
      <c r="B11" s="65"/>
      <c r="C11" s="65"/>
      <c r="E11" s="61" t="s">
        <v>175</v>
      </c>
      <c r="F11" s="65"/>
      <c r="G11" s="65"/>
      <c r="H11" s="65"/>
      <c r="I11" s="65"/>
      <c r="J11" s="65"/>
      <c r="K11" s="65"/>
      <c r="L11" s="67"/>
    </row>
    <row r="12" spans="1:12" ht="14.5" customHeight="1">
      <c r="A12" s="473" t="s">
        <v>95</v>
      </c>
      <c r="B12" s="474"/>
      <c r="C12" s="475" t="s">
        <v>295</v>
      </c>
      <c r="D12" s="475"/>
      <c r="E12" s="475"/>
      <c r="F12" s="476"/>
      <c r="G12" s="476"/>
      <c r="H12" s="476"/>
      <c r="I12" s="476"/>
      <c r="J12" s="475"/>
      <c r="K12" s="475"/>
      <c r="L12" s="477"/>
    </row>
    <row r="13" spans="1:12" ht="14.25" customHeight="1">
      <c r="A13" s="465" t="s">
        <v>179</v>
      </c>
      <c r="B13" s="466"/>
      <c r="C13" s="466"/>
      <c r="D13" s="466"/>
      <c r="E13" s="466"/>
      <c r="F13" s="466"/>
      <c r="G13" s="466"/>
      <c r="H13" s="466"/>
      <c r="I13" s="68"/>
      <c r="J13" s="69"/>
      <c r="K13" s="69"/>
      <c r="L13" s="70"/>
    </row>
    <row r="14" spans="1:12" s="60" customFormat="1" ht="26.25" customHeight="1">
      <c r="A14" s="71" t="s">
        <v>180</v>
      </c>
      <c r="B14" s="72" t="s">
        <v>181</v>
      </c>
      <c r="C14" s="72" t="s">
        <v>182</v>
      </c>
      <c r="D14" s="72" t="s">
        <v>183</v>
      </c>
      <c r="E14" s="72" t="s">
        <v>184</v>
      </c>
      <c r="F14" s="72" t="s">
        <v>185</v>
      </c>
      <c r="G14" s="72" t="s">
        <v>186</v>
      </c>
      <c r="H14" s="72" t="s">
        <v>187</v>
      </c>
      <c r="I14" s="73" t="s">
        <v>188</v>
      </c>
      <c r="J14" s="72" t="s">
        <v>189</v>
      </c>
      <c r="K14" s="72" t="s">
        <v>190</v>
      </c>
      <c r="L14" s="74" t="s">
        <v>191</v>
      </c>
    </row>
    <row r="15" spans="1:12" ht="14.5" customHeight="1">
      <c r="A15" s="75"/>
      <c r="B15" s="76"/>
      <c r="C15" s="77"/>
      <c r="D15" s="66"/>
      <c r="E15" s="66"/>
      <c r="F15" s="66"/>
      <c r="G15" s="66"/>
      <c r="H15" s="66"/>
      <c r="I15" s="78"/>
      <c r="J15" s="66"/>
      <c r="K15" s="79"/>
      <c r="L15" s="80"/>
    </row>
    <row r="16" spans="1:12" ht="14.5" customHeight="1">
      <c r="A16" s="75"/>
      <c r="B16" s="77"/>
      <c r="C16" s="77"/>
      <c r="D16" s="66"/>
      <c r="E16" s="66"/>
      <c r="F16" s="66"/>
      <c r="G16" s="66"/>
      <c r="H16" s="66"/>
      <c r="I16" s="81"/>
      <c r="J16" s="66"/>
      <c r="K16" s="79"/>
      <c r="L16" s="80"/>
    </row>
    <row r="17" spans="1:12" ht="14.5" customHeight="1">
      <c r="A17" s="75"/>
      <c r="B17" s="82" t="s">
        <v>116</v>
      </c>
      <c r="C17" s="77"/>
      <c r="D17" s="66"/>
      <c r="E17" s="83"/>
      <c r="F17" s="66"/>
      <c r="G17" s="66"/>
      <c r="H17" s="66"/>
      <c r="I17" s="81"/>
      <c r="J17" s="66"/>
      <c r="K17" s="66"/>
      <c r="L17" s="80"/>
    </row>
    <row r="18" spans="1:12" ht="14.5" customHeight="1">
      <c r="A18" s="75"/>
      <c r="B18" s="84" t="s">
        <v>192</v>
      </c>
      <c r="C18" s="84"/>
      <c r="D18" s="84"/>
      <c r="E18" s="83"/>
      <c r="F18" s="66"/>
      <c r="G18" s="66"/>
      <c r="H18" s="66"/>
      <c r="I18" s="85">
        <f>SUM(I15:I17)</f>
        <v>0</v>
      </c>
      <c r="J18" s="66"/>
      <c r="K18" s="84"/>
      <c r="L18" s="80"/>
    </row>
    <row r="19" spans="1:12" ht="15" customHeight="1">
      <c r="A19" s="465" t="s">
        <v>193</v>
      </c>
      <c r="B19" s="466"/>
      <c r="C19" s="466"/>
      <c r="D19" s="466"/>
      <c r="E19" s="466"/>
      <c r="F19" s="466"/>
      <c r="G19" s="466"/>
      <c r="H19" s="466"/>
      <c r="I19" s="68"/>
      <c r="J19" s="69"/>
      <c r="K19" s="69"/>
      <c r="L19" s="70"/>
    </row>
    <row r="20" spans="1:12" s="60" customFormat="1" ht="26.25" customHeight="1">
      <c r="A20" s="71" t="s">
        <v>180</v>
      </c>
      <c r="B20" s="72" t="s">
        <v>181</v>
      </c>
      <c r="C20" s="72" t="s">
        <v>182</v>
      </c>
      <c r="D20" s="72" t="s">
        <v>194</v>
      </c>
      <c r="E20" s="72" t="s">
        <v>184</v>
      </c>
      <c r="F20" s="72" t="s">
        <v>185</v>
      </c>
      <c r="G20" s="72" t="s">
        <v>186</v>
      </c>
      <c r="H20" s="72" t="s">
        <v>187</v>
      </c>
      <c r="I20" s="73" t="s">
        <v>188</v>
      </c>
      <c r="J20" s="72" t="s">
        <v>189</v>
      </c>
      <c r="K20" s="72" t="s">
        <v>190</v>
      </c>
      <c r="L20" s="74" t="s">
        <v>191</v>
      </c>
    </row>
    <row r="21" spans="1:12" ht="12.75" customHeight="1">
      <c r="A21" s="86"/>
      <c r="B21" s="77"/>
      <c r="C21" s="77"/>
      <c r="D21" s="66"/>
      <c r="E21" s="87"/>
      <c r="F21" s="88"/>
      <c r="G21" s="66"/>
      <c r="H21" s="66"/>
      <c r="I21" s="89"/>
      <c r="J21" s="90"/>
      <c r="K21" s="66"/>
      <c r="L21" s="91"/>
    </row>
    <row r="22" spans="1:12" ht="12.75" customHeight="1">
      <c r="A22" s="86"/>
      <c r="B22" s="76"/>
      <c r="C22" s="77"/>
      <c r="D22" s="66"/>
      <c r="E22" s="92"/>
      <c r="F22" s="89"/>
      <c r="G22" s="93"/>
      <c r="H22" s="93"/>
      <c r="I22" s="89"/>
      <c r="J22" s="66"/>
      <c r="K22" s="66"/>
      <c r="L22" s="91"/>
    </row>
    <row r="23" spans="1:12" ht="12.75" customHeight="1">
      <c r="A23" s="86"/>
      <c r="B23" s="76"/>
      <c r="C23" s="77"/>
      <c r="D23" s="66"/>
      <c r="E23" s="92"/>
      <c r="F23" s="89"/>
      <c r="G23" s="93"/>
      <c r="H23" s="93"/>
      <c r="I23" s="89"/>
      <c r="J23" s="66"/>
      <c r="K23" s="66"/>
      <c r="L23" s="91"/>
    </row>
    <row r="24" spans="1:12" ht="12.75" customHeight="1">
      <c r="A24" s="86"/>
      <c r="B24" s="76"/>
      <c r="C24" s="77"/>
      <c r="D24" s="66"/>
      <c r="E24" s="92"/>
      <c r="F24" s="89"/>
      <c r="G24" s="93"/>
      <c r="H24" s="93"/>
      <c r="I24" s="89"/>
      <c r="J24" s="66"/>
      <c r="K24" s="66"/>
      <c r="L24" s="91"/>
    </row>
    <row r="25" spans="1:12" ht="12.75" customHeight="1">
      <c r="A25" s="86"/>
      <c r="B25" s="76"/>
      <c r="C25" s="77"/>
      <c r="D25" s="66"/>
      <c r="E25" s="92"/>
      <c r="F25" s="89"/>
      <c r="G25" s="93"/>
      <c r="H25" s="93"/>
      <c r="I25" s="89"/>
      <c r="J25" s="66"/>
      <c r="K25" s="66"/>
      <c r="L25" s="91"/>
    </row>
    <row r="26" spans="1:12" ht="12.75" customHeight="1">
      <c r="A26" s="86"/>
      <c r="B26" s="76"/>
      <c r="C26" s="77"/>
      <c r="D26" s="66"/>
      <c r="E26" s="92"/>
      <c r="F26" s="89"/>
      <c r="G26" s="93"/>
      <c r="H26" s="93"/>
      <c r="I26" s="89"/>
      <c r="J26" s="66"/>
      <c r="K26" s="66"/>
      <c r="L26" s="91"/>
    </row>
    <row r="27" spans="1:12" ht="12.75" customHeight="1">
      <c r="A27" s="86"/>
      <c r="B27" s="76"/>
      <c r="C27" s="77"/>
      <c r="D27" s="66"/>
      <c r="E27" s="92"/>
      <c r="F27" s="89"/>
      <c r="G27" s="93"/>
      <c r="H27" s="93"/>
      <c r="I27" s="89"/>
      <c r="J27" s="66"/>
      <c r="K27" s="66"/>
      <c r="L27" s="91"/>
    </row>
    <row r="28" spans="1:12" ht="12.75" customHeight="1">
      <c r="A28" s="86"/>
      <c r="B28" s="76"/>
      <c r="C28" s="77"/>
      <c r="D28" s="66"/>
      <c r="E28" s="92"/>
      <c r="F28" s="89"/>
      <c r="G28" s="93"/>
      <c r="H28" s="93"/>
      <c r="I28" s="89"/>
      <c r="J28" s="66"/>
      <c r="K28" s="66"/>
      <c r="L28" s="91"/>
    </row>
    <row r="29" spans="1:12" ht="12.75" customHeight="1">
      <c r="A29" s="86"/>
      <c r="B29" s="76"/>
      <c r="C29" s="77"/>
      <c r="D29" s="66"/>
      <c r="E29" s="92"/>
      <c r="F29" s="89"/>
      <c r="G29" s="93"/>
      <c r="H29" s="93"/>
      <c r="I29" s="89"/>
      <c r="J29" s="66"/>
      <c r="K29" s="66"/>
      <c r="L29" s="91"/>
    </row>
    <row r="30" spans="1:12" ht="12.75" customHeight="1">
      <c r="A30" s="86"/>
      <c r="B30" s="76"/>
      <c r="C30" s="77"/>
      <c r="D30" s="66"/>
      <c r="E30" s="92"/>
      <c r="F30" s="89"/>
      <c r="G30" s="93"/>
      <c r="H30" s="93"/>
      <c r="I30" s="89"/>
      <c r="J30" s="66"/>
      <c r="K30" s="66"/>
      <c r="L30" s="91"/>
    </row>
    <row r="31" spans="1:12" ht="12.75" customHeight="1">
      <c r="A31" s="86"/>
      <c r="B31" s="76"/>
      <c r="C31" s="77"/>
      <c r="D31" s="66"/>
      <c r="E31" s="92"/>
      <c r="F31" s="89"/>
      <c r="G31" s="93"/>
      <c r="H31" s="93"/>
      <c r="I31" s="89"/>
      <c r="J31" s="66"/>
      <c r="K31" s="66"/>
      <c r="L31" s="91"/>
    </row>
    <row r="32" spans="1:12" ht="12.75" customHeight="1">
      <c r="A32" s="86"/>
      <c r="B32" s="76"/>
      <c r="C32" s="77"/>
      <c r="D32" s="66"/>
      <c r="E32" s="92"/>
      <c r="F32" s="89"/>
      <c r="G32" s="93"/>
      <c r="H32" s="93"/>
      <c r="I32" s="89"/>
      <c r="J32" s="66"/>
      <c r="K32" s="66"/>
      <c r="L32" s="91"/>
    </row>
    <row r="33" spans="1:12" ht="12.75" customHeight="1">
      <c r="A33" s="86"/>
      <c r="B33" s="76"/>
      <c r="C33" s="77"/>
      <c r="D33" s="66"/>
      <c r="E33" s="92"/>
      <c r="F33" s="89"/>
      <c r="G33" s="93"/>
      <c r="H33" s="93"/>
      <c r="I33" s="89"/>
      <c r="J33" s="66"/>
      <c r="K33" s="66"/>
      <c r="L33" s="91"/>
    </row>
    <row r="34" spans="1:12" ht="12.75" customHeight="1">
      <c r="A34" s="86"/>
      <c r="B34" s="76"/>
      <c r="C34" s="77"/>
      <c r="D34" s="66"/>
      <c r="E34" s="92"/>
      <c r="F34" s="89"/>
      <c r="G34" s="93"/>
      <c r="H34" s="93"/>
      <c r="I34" s="89"/>
      <c r="J34" s="66"/>
      <c r="K34" s="66"/>
      <c r="L34" s="91"/>
    </row>
    <row r="35" spans="1:12" ht="12.75" customHeight="1">
      <c r="A35" s="86"/>
      <c r="B35" s="76"/>
      <c r="C35" s="77"/>
      <c r="D35" s="66"/>
      <c r="E35" s="92"/>
      <c r="F35" s="89"/>
      <c r="G35" s="93"/>
      <c r="H35" s="93"/>
      <c r="I35" s="89"/>
      <c r="J35" s="66"/>
      <c r="K35" s="66"/>
      <c r="L35" s="91"/>
    </row>
    <row r="36" spans="1:12" ht="12.75" customHeight="1">
      <c r="A36" s="86"/>
      <c r="B36" s="76"/>
      <c r="C36" s="77"/>
      <c r="D36" s="66"/>
      <c r="E36" s="92"/>
      <c r="F36" s="89"/>
      <c r="G36" s="66"/>
      <c r="H36" s="66"/>
      <c r="I36" s="89"/>
      <c r="J36" s="66"/>
      <c r="K36" s="66"/>
      <c r="L36" s="91"/>
    </row>
    <row r="37" spans="1:12" ht="12.75" customHeight="1">
      <c r="A37" s="86"/>
      <c r="B37" s="76"/>
      <c r="C37" s="77"/>
      <c r="D37" s="66"/>
      <c r="E37" s="92"/>
      <c r="F37" s="89"/>
      <c r="G37" s="66"/>
      <c r="H37" s="66"/>
      <c r="I37" s="89"/>
      <c r="J37" s="66"/>
      <c r="K37" s="66"/>
      <c r="L37" s="91"/>
    </row>
    <row r="38" spans="1:12" ht="12.75" customHeight="1">
      <c r="A38" s="86"/>
      <c r="B38" s="77"/>
      <c r="C38" s="77"/>
      <c r="D38" s="66"/>
      <c r="E38" s="92"/>
      <c r="F38" s="89"/>
      <c r="G38" s="66"/>
      <c r="H38" s="66"/>
      <c r="I38" s="89"/>
      <c r="J38" s="66"/>
      <c r="K38" s="66"/>
      <c r="L38" s="91"/>
    </row>
    <row r="39" spans="1:12" ht="12.75" customHeight="1">
      <c r="A39" s="86"/>
      <c r="B39" s="77"/>
      <c r="C39" s="77"/>
      <c r="D39" s="66"/>
      <c r="E39" s="92"/>
      <c r="F39" s="89"/>
      <c r="G39" s="66"/>
      <c r="H39" s="66"/>
      <c r="I39" s="89"/>
      <c r="J39" s="66"/>
      <c r="K39" s="66"/>
      <c r="L39" s="91"/>
    </row>
    <row r="40" spans="1:12" customFormat="1" ht="12.75" customHeight="1">
      <c r="A40" s="86"/>
      <c r="B40" s="94"/>
      <c r="C40" s="95"/>
      <c r="D40" s="96"/>
      <c r="E40" s="97"/>
      <c r="F40" s="89"/>
      <c r="G40" s="98"/>
      <c r="H40" s="98"/>
      <c r="I40" s="99"/>
      <c r="J40" s="96"/>
      <c r="K40" s="96"/>
      <c r="L40" s="100"/>
    </row>
    <row r="41" spans="1:12" customFormat="1" ht="12.75" customHeight="1">
      <c r="A41" s="86"/>
      <c r="B41" s="94"/>
      <c r="C41" s="95"/>
      <c r="D41" s="96"/>
      <c r="E41" s="97"/>
      <c r="F41" s="89"/>
      <c r="G41" s="98"/>
      <c r="H41" s="98"/>
      <c r="I41" s="99"/>
      <c r="J41" s="96"/>
      <c r="K41" s="96"/>
      <c r="L41" s="100"/>
    </row>
    <row r="42" spans="1:12" customFormat="1" ht="12.75" customHeight="1">
      <c r="A42" s="86"/>
      <c r="B42" s="94"/>
      <c r="C42" s="95"/>
      <c r="D42" s="96"/>
      <c r="E42" s="97"/>
      <c r="F42" s="89"/>
      <c r="G42" s="98"/>
      <c r="H42" s="98"/>
      <c r="I42" s="99"/>
      <c r="J42" s="101"/>
      <c r="K42" s="96"/>
      <c r="L42" s="100"/>
    </row>
    <row r="43" spans="1:12" customFormat="1" ht="12.75" customHeight="1">
      <c r="A43" s="86"/>
      <c r="B43" s="94"/>
      <c r="C43" s="95"/>
      <c r="D43" s="96"/>
      <c r="E43" s="97"/>
      <c r="F43" s="89"/>
      <c r="G43" s="98"/>
      <c r="H43" s="98"/>
      <c r="I43" s="99"/>
      <c r="J43" s="96"/>
      <c r="K43" s="96"/>
      <c r="L43" s="100"/>
    </row>
    <row r="44" spans="1:12" customFormat="1" ht="12.75" customHeight="1">
      <c r="A44" s="86"/>
      <c r="B44" s="94"/>
      <c r="C44" s="95"/>
      <c r="D44" s="96"/>
      <c r="E44" s="97"/>
      <c r="F44" s="89"/>
      <c r="G44" s="98"/>
      <c r="H44" s="98"/>
      <c r="I44" s="99"/>
      <c r="J44" s="96"/>
      <c r="K44" s="96"/>
      <c r="L44" s="100"/>
    </row>
    <row r="45" spans="1:12" customFormat="1" ht="12.75" customHeight="1">
      <c r="A45" s="86"/>
      <c r="B45" s="94"/>
      <c r="C45" s="95"/>
      <c r="D45" s="96"/>
      <c r="E45" s="97"/>
      <c r="F45" s="89"/>
      <c r="G45" s="98"/>
      <c r="H45" s="98"/>
      <c r="I45" s="99"/>
      <c r="J45" s="96"/>
      <c r="K45" s="96"/>
      <c r="L45" s="100"/>
    </row>
    <row r="46" spans="1:12" customFormat="1" ht="12.75" customHeight="1">
      <c r="A46" s="86"/>
      <c r="B46" s="94"/>
      <c r="C46" s="95"/>
      <c r="D46" s="96"/>
      <c r="E46" s="97"/>
      <c r="F46" s="89"/>
      <c r="G46" s="98"/>
      <c r="H46" s="98"/>
      <c r="I46" s="99"/>
      <c r="J46" s="96"/>
      <c r="K46" s="96"/>
      <c r="L46" s="100"/>
    </row>
    <row r="47" spans="1:12" customFormat="1" ht="12.75" customHeight="1">
      <c r="A47" s="86"/>
      <c r="B47" s="94"/>
      <c r="C47" s="95"/>
      <c r="D47" s="96"/>
      <c r="E47" s="97"/>
      <c r="F47" s="89"/>
      <c r="G47" s="98"/>
      <c r="H47" s="98"/>
      <c r="I47" s="99"/>
      <c r="J47" s="96"/>
      <c r="K47" s="96"/>
      <c r="L47" s="100"/>
    </row>
    <row r="48" spans="1:12" customFormat="1" ht="12.75" customHeight="1">
      <c r="A48" s="86"/>
      <c r="B48" s="94"/>
      <c r="C48" s="95"/>
      <c r="D48" s="96"/>
      <c r="E48" s="97"/>
      <c r="F48" s="89"/>
      <c r="G48" s="98"/>
      <c r="H48" s="98"/>
      <c r="I48" s="99"/>
      <c r="J48" s="96"/>
      <c r="K48" s="96"/>
      <c r="L48" s="100"/>
    </row>
    <row r="49" spans="1:12" customFormat="1" ht="12.75" customHeight="1">
      <c r="A49" s="86"/>
      <c r="B49" s="94"/>
      <c r="C49" s="95"/>
      <c r="D49" s="96"/>
      <c r="E49" s="97"/>
      <c r="F49" s="89"/>
      <c r="G49" s="98"/>
      <c r="H49" s="98"/>
      <c r="I49" s="99"/>
      <c r="J49" s="96"/>
      <c r="K49" s="96"/>
      <c r="L49" s="100"/>
    </row>
    <row r="50" spans="1:12" customFormat="1" ht="12.75" customHeight="1">
      <c r="A50" s="86"/>
      <c r="B50" s="94"/>
      <c r="C50" s="95"/>
      <c r="D50" s="96"/>
      <c r="E50" s="97"/>
      <c r="F50" s="89"/>
      <c r="G50" s="98"/>
      <c r="H50" s="98"/>
      <c r="I50" s="99"/>
      <c r="J50" s="96"/>
      <c r="K50" s="96"/>
      <c r="L50" s="100"/>
    </row>
    <row r="51" spans="1:12" customFormat="1" ht="12.75" customHeight="1">
      <c r="A51" s="86"/>
      <c r="B51" s="94"/>
      <c r="C51" s="95"/>
      <c r="D51" s="96"/>
      <c r="E51" s="97"/>
      <c r="F51" s="89"/>
      <c r="G51" s="98"/>
      <c r="H51" s="98"/>
      <c r="I51" s="99"/>
      <c r="J51" s="96"/>
      <c r="K51" s="96"/>
      <c r="L51" s="100"/>
    </row>
    <row r="52" spans="1:12" customFormat="1" ht="12.75" customHeight="1">
      <c r="A52" s="86"/>
      <c r="B52" s="94"/>
      <c r="C52" s="95"/>
      <c r="D52" s="96"/>
      <c r="E52" s="97"/>
      <c r="F52" s="89"/>
      <c r="G52" s="98"/>
      <c r="H52" s="98"/>
      <c r="I52" s="99"/>
      <c r="J52" s="96"/>
      <c r="K52" s="96"/>
      <c r="L52" s="100"/>
    </row>
    <row r="53" spans="1:12" customFormat="1" ht="12.75" customHeight="1">
      <c r="A53" s="86"/>
      <c r="B53" s="94"/>
      <c r="C53" s="95"/>
      <c r="D53" s="96"/>
      <c r="E53" s="97"/>
      <c r="F53" s="89"/>
      <c r="G53" s="98"/>
      <c r="H53" s="98"/>
      <c r="I53" s="99"/>
      <c r="J53" s="96"/>
      <c r="K53" s="96"/>
      <c r="L53" s="100"/>
    </row>
    <row r="54" spans="1:12" customFormat="1" ht="12.75" customHeight="1">
      <c r="A54" s="86"/>
      <c r="B54" s="94"/>
      <c r="C54" s="95"/>
      <c r="D54" s="96"/>
      <c r="E54" s="97"/>
      <c r="F54" s="89"/>
      <c r="G54" s="98"/>
      <c r="H54" s="98"/>
      <c r="I54" s="99"/>
      <c r="J54" s="96"/>
      <c r="K54" s="96"/>
      <c r="L54" s="100"/>
    </row>
    <row r="55" spans="1:12" customFormat="1" ht="12.75" customHeight="1">
      <c r="A55" s="86"/>
      <c r="B55" s="94"/>
      <c r="C55" s="95"/>
      <c r="D55" s="96"/>
      <c r="E55" s="97"/>
      <c r="F55" s="89"/>
      <c r="G55" s="98"/>
      <c r="H55" s="98"/>
      <c r="I55" s="99"/>
      <c r="J55" s="96"/>
      <c r="K55" s="96"/>
      <c r="L55" s="100"/>
    </row>
    <row r="56" spans="1:12" customFormat="1" ht="12.75" customHeight="1">
      <c r="A56" s="86"/>
      <c r="B56" s="94"/>
      <c r="C56" s="95"/>
      <c r="D56" s="96"/>
      <c r="E56" s="97"/>
      <c r="F56" s="89"/>
      <c r="G56" s="98"/>
      <c r="H56" s="98"/>
      <c r="I56" s="99"/>
      <c r="J56" s="96"/>
      <c r="K56" s="102"/>
      <c r="L56" s="100"/>
    </row>
    <row r="57" spans="1:12" customFormat="1" ht="12.75" customHeight="1">
      <c r="A57" s="86"/>
      <c r="B57" s="94"/>
      <c r="C57" s="95"/>
      <c r="D57" s="96"/>
      <c r="E57" s="97"/>
      <c r="F57" s="89"/>
      <c r="G57" s="98"/>
      <c r="H57" s="98"/>
      <c r="I57" s="99"/>
      <c r="J57" s="96"/>
      <c r="K57" s="102"/>
      <c r="L57" s="100"/>
    </row>
    <row r="58" spans="1:12" customFormat="1" ht="12.75" customHeight="1">
      <c r="A58" s="86"/>
      <c r="B58" s="94"/>
      <c r="C58" s="95"/>
      <c r="D58" s="96"/>
      <c r="E58" s="97"/>
      <c r="F58" s="89"/>
      <c r="G58" s="98"/>
      <c r="H58" s="98"/>
      <c r="I58" s="99"/>
      <c r="J58" s="96"/>
      <c r="K58" s="102"/>
      <c r="L58" s="100"/>
    </row>
    <row r="59" spans="1:12" customFormat="1" ht="12.75" customHeight="1">
      <c r="A59" s="86"/>
      <c r="B59" s="94"/>
      <c r="C59" s="95"/>
      <c r="D59" s="96"/>
      <c r="E59" s="97"/>
      <c r="F59" s="89"/>
      <c r="G59" s="98"/>
      <c r="H59" s="98"/>
      <c r="I59" s="99"/>
      <c r="J59" s="96"/>
      <c r="K59" s="102"/>
      <c r="L59" s="100"/>
    </row>
    <row r="60" spans="1:12" customFormat="1" ht="12.75" customHeight="1">
      <c r="A60" s="86"/>
      <c r="B60" s="94"/>
      <c r="C60" s="95"/>
      <c r="D60" s="96"/>
      <c r="E60" s="97"/>
      <c r="F60" s="89"/>
      <c r="G60" s="98"/>
      <c r="H60" s="98"/>
      <c r="I60" s="99"/>
      <c r="J60" s="96"/>
      <c r="K60" s="102"/>
      <c r="L60" s="100"/>
    </row>
    <row r="61" spans="1:12" customFormat="1" ht="12.75" customHeight="1">
      <c r="A61" s="86"/>
      <c r="B61" s="94"/>
      <c r="C61" s="95"/>
      <c r="D61" s="96"/>
      <c r="E61" s="97"/>
      <c r="F61" s="89"/>
      <c r="G61" s="98"/>
      <c r="H61" s="98"/>
      <c r="I61" s="99"/>
      <c r="J61" s="96"/>
      <c r="K61" s="102"/>
      <c r="L61" s="100"/>
    </row>
    <row r="62" spans="1:12" customFormat="1" ht="12.75" customHeight="1">
      <c r="A62" s="86"/>
      <c r="B62" s="103"/>
      <c r="C62" s="104"/>
      <c r="D62" s="105"/>
      <c r="E62" s="106"/>
      <c r="F62" s="107"/>
      <c r="G62" s="108"/>
      <c r="H62" s="108"/>
      <c r="I62" s="109"/>
      <c r="J62" s="66"/>
      <c r="K62" s="66"/>
      <c r="L62" s="110"/>
    </row>
    <row r="63" spans="1:12" customFormat="1" ht="12.75" customHeight="1">
      <c r="A63" s="86">
        <v>43</v>
      </c>
      <c r="B63" s="103"/>
      <c r="C63" s="104"/>
      <c r="D63" s="105"/>
      <c r="E63" s="106"/>
      <c r="F63" s="107"/>
      <c r="G63" s="108"/>
      <c r="H63" s="108"/>
      <c r="I63" s="109"/>
      <c r="J63" s="66"/>
      <c r="K63" s="66"/>
      <c r="L63" s="110"/>
    </row>
    <row r="64" spans="1:12" customFormat="1" ht="12.75" customHeight="1">
      <c r="A64" s="86">
        <v>44</v>
      </c>
      <c r="B64" s="103"/>
      <c r="C64" s="104"/>
      <c r="D64" s="105"/>
      <c r="E64" s="106"/>
      <c r="F64" s="107"/>
      <c r="G64" s="108"/>
      <c r="H64" s="108"/>
      <c r="I64" s="109"/>
      <c r="J64" s="66"/>
      <c r="K64" s="66"/>
      <c r="L64" s="110"/>
    </row>
    <row r="65" spans="1:12" ht="12.75" customHeight="1">
      <c r="A65" s="86">
        <v>45</v>
      </c>
      <c r="B65" s="103"/>
      <c r="C65" s="104"/>
      <c r="D65" s="105"/>
      <c r="E65" s="106"/>
      <c r="F65" s="107"/>
      <c r="G65" s="108"/>
      <c r="H65" s="108"/>
      <c r="I65" s="111"/>
      <c r="J65" s="66"/>
      <c r="K65" s="66"/>
      <c r="L65" s="112"/>
    </row>
    <row r="66" spans="1:12" ht="12.75" customHeight="1">
      <c r="A66" s="75"/>
      <c r="B66" s="82"/>
      <c r="C66" s="66"/>
      <c r="D66" s="66"/>
      <c r="E66" s="106"/>
      <c r="F66" s="66"/>
      <c r="G66" s="66"/>
      <c r="H66" s="66"/>
      <c r="I66" s="99"/>
      <c r="J66" s="66"/>
      <c r="K66" s="82"/>
      <c r="L66" s="113"/>
    </row>
    <row r="67" spans="1:12" ht="12.75" customHeight="1">
      <c r="A67" s="75"/>
      <c r="B67" s="82" t="s">
        <v>116</v>
      </c>
      <c r="C67" s="66"/>
      <c r="D67" s="66"/>
      <c r="E67" s="82"/>
      <c r="F67" s="66"/>
      <c r="G67" s="66"/>
      <c r="H67" s="66"/>
      <c r="I67" s="99"/>
      <c r="J67" s="66"/>
      <c r="K67" s="82"/>
      <c r="L67" s="113"/>
    </row>
    <row r="68" spans="1:12" ht="14.5" customHeight="1">
      <c r="A68" s="75"/>
      <c r="B68" s="84" t="s">
        <v>192</v>
      </c>
      <c r="C68" s="84"/>
      <c r="D68" s="84"/>
      <c r="E68" s="83"/>
      <c r="F68" s="66"/>
      <c r="G68" s="66"/>
      <c r="H68" s="66"/>
      <c r="I68" s="85">
        <f>SUM(I21:I66)</f>
        <v>0</v>
      </c>
      <c r="J68" s="114"/>
      <c r="K68" s="66"/>
      <c r="L68" s="80"/>
    </row>
    <row r="69" spans="1:12" ht="14.5" customHeight="1">
      <c r="A69" s="75"/>
      <c r="B69" s="84"/>
      <c r="C69" s="84"/>
      <c r="D69" s="84" t="s">
        <v>33</v>
      </c>
      <c r="E69" s="83"/>
      <c r="F69" s="66"/>
      <c r="G69" s="66"/>
      <c r="H69" s="66"/>
      <c r="I69" s="85"/>
      <c r="J69" s="114"/>
      <c r="K69" s="66"/>
      <c r="L69" s="80"/>
    </row>
    <row r="70" spans="1:12" ht="14.5" customHeight="1">
      <c r="A70" s="465" t="s">
        <v>195</v>
      </c>
      <c r="B70" s="466"/>
      <c r="C70" s="466"/>
      <c r="D70" s="466"/>
      <c r="E70" s="466"/>
      <c r="F70" s="466"/>
      <c r="G70" s="466"/>
      <c r="H70" s="466"/>
      <c r="I70" s="68"/>
      <c r="J70" s="114"/>
      <c r="K70" s="69"/>
      <c r="L70" s="70"/>
    </row>
    <row r="71" spans="1:12" ht="14.5" customHeight="1">
      <c r="A71" s="75">
        <v>1</v>
      </c>
      <c r="B71" s="77"/>
      <c r="C71" s="77"/>
      <c r="D71" s="66"/>
      <c r="E71" s="83"/>
      <c r="F71" s="66"/>
      <c r="G71" s="66"/>
      <c r="H71" s="66"/>
      <c r="I71" s="81">
        <f>F71*G71*H71</f>
        <v>0</v>
      </c>
      <c r="J71" s="114"/>
      <c r="K71" s="66"/>
      <c r="L71" s="80"/>
    </row>
    <row r="72" spans="1:12" customFormat="1" ht="15">
      <c r="A72" s="115">
        <v>2</v>
      </c>
      <c r="B72" s="116"/>
      <c r="C72" s="77"/>
      <c r="D72" s="66"/>
      <c r="E72" s="117"/>
      <c r="F72" s="118"/>
      <c r="G72" s="66"/>
      <c r="H72" s="66"/>
      <c r="I72" s="81">
        <f>F72*G72*H72</f>
        <v>0</v>
      </c>
      <c r="J72" s="114"/>
      <c r="K72" s="118"/>
      <c r="L72" s="119"/>
    </row>
    <row r="73" spans="1:12" ht="12.75" customHeight="1">
      <c r="A73" s="75"/>
      <c r="B73" s="82" t="s">
        <v>116</v>
      </c>
      <c r="C73" s="66"/>
      <c r="D73" s="66"/>
      <c r="E73" s="82"/>
      <c r="F73" s="66"/>
      <c r="G73" s="66"/>
      <c r="H73" s="66"/>
      <c r="I73" s="66"/>
      <c r="J73" s="114"/>
      <c r="K73" s="82"/>
      <c r="L73" s="113"/>
    </row>
    <row r="74" spans="1:12" ht="14.5" customHeight="1">
      <c r="A74" s="120"/>
      <c r="B74" s="84" t="s">
        <v>192</v>
      </c>
      <c r="C74" s="84"/>
      <c r="D74" s="84"/>
      <c r="E74" s="83"/>
      <c r="F74" s="66"/>
      <c r="G74" s="66"/>
      <c r="H74" s="66"/>
      <c r="I74" s="85">
        <f>SUM(I71:I73)</f>
        <v>0</v>
      </c>
      <c r="J74" s="114"/>
      <c r="K74" s="66"/>
      <c r="L74" s="80"/>
    </row>
    <row r="75" spans="1:12" ht="14.5" customHeight="1">
      <c r="A75" s="465" t="s">
        <v>196</v>
      </c>
      <c r="B75" s="466"/>
      <c r="C75" s="466"/>
      <c r="D75" s="466"/>
      <c r="E75" s="466"/>
      <c r="F75" s="466"/>
      <c r="G75" s="466"/>
      <c r="H75" s="466"/>
      <c r="I75" s="68"/>
      <c r="J75" s="114"/>
      <c r="K75" s="69"/>
      <c r="L75" s="70"/>
    </row>
    <row r="76" spans="1:12" ht="12.75" customHeight="1">
      <c r="A76" s="75"/>
      <c r="B76" s="82"/>
      <c r="C76" s="66"/>
      <c r="D76" s="66"/>
      <c r="E76" s="82"/>
      <c r="F76" s="66"/>
      <c r="G76" s="66"/>
      <c r="H76" s="66"/>
      <c r="I76" s="66"/>
      <c r="J76" s="66"/>
      <c r="K76" s="82"/>
      <c r="L76" s="113"/>
    </row>
    <row r="77" spans="1:12" ht="12.75" customHeight="1">
      <c r="A77" s="75"/>
      <c r="B77" s="82"/>
      <c r="C77" s="66"/>
      <c r="D77" s="66"/>
      <c r="E77" s="82"/>
      <c r="F77" s="66"/>
      <c r="G77" s="66"/>
      <c r="H77" s="66"/>
      <c r="I77" s="66"/>
      <c r="J77" s="66"/>
      <c r="K77" s="82"/>
      <c r="L77" s="113"/>
    </row>
    <row r="78" spans="1:12" ht="12.75" customHeight="1">
      <c r="A78" s="75"/>
      <c r="B78" s="82" t="s">
        <v>116</v>
      </c>
      <c r="C78" s="66"/>
      <c r="D78" s="66"/>
      <c r="E78" s="82"/>
      <c r="F78" s="66"/>
      <c r="G78" s="66"/>
      <c r="H78" s="66"/>
      <c r="I78" s="66"/>
      <c r="J78" s="66"/>
      <c r="K78" s="82"/>
      <c r="L78" s="113"/>
    </row>
    <row r="79" spans="1:12" ht="14.5" customHeight="1">
      <c r="A79" s="75"/>
      <c r="B79" s="121" t="s">
        <v>33</v>
      </c>
      <c r="C79" s="121"/>
      <c r="D79" s="77"/>
      <c r="E79" s="83"/>
      <c r="F79" s="66"/>
      <c r="G79" s="66"/>
      <c r="H79" s="66"/>
      <c r="I79" s="85">
        <f>SUM(I76:I77)</f>
        <v>0</v>
      </c>
      <c r="J79" s="66"/>
      <c r="K79" s="66"/>
      <c r="L79" s="80"/>
    </row>
    <row r="80" spans="1:12" ht="14.5" customHeight="1">
      <c r="A80" s="465" t="s">
        <v>197</v>
      </c>
      <c r="B80" s="466"/>
      <c r="C80" s="466"/>
      <c r="D80" s="466"/>
      <c r="E80" s="466"/>
      <c r="F80" s="466"/>
      <c r="G80" s="466"/>
      <c r="H80" s="466"/>
      <c r="I80" s="122"/>
      <c r="J80" s="66"/>
      <c r="K80" s="69"/>
      <c r="L80" s="70"/>
    </row>
    <row r="81" spans="1:12" ht="14.5" customHeight="1">
      <c r="A81" s="75"/>
      <c r="B81" s="123"/>
      <c r="C81" s="124"/>
      <c r="D81" s="125"/>
      <c r="E81" s="126"/>
      <c r="F81" s="127"/>
      <c r="G81" s="98"/>
      <c r="H81" s="98"/>
      <c r="I81" s="99"/>
      <c r="J81" s="96"/>
      <c r="K81" s="128"/>
      <c r="L81" s="100"/>
    </row>
    <row r="82" spans="1:12" ht="14.5" customHeight="1">
      <c r="A82" s="75"/>
      <c r="B82" s="123"/>
      <c r="C82" s="77"/>
      <c r="D82" s="129"/>
      <c r="E82" s="126"/>
      <c r="F82" s="127"/>
      <c r="G82" s="130"/>
      <c r="H82" s="130"/>
      <c r="I82" s="99"/>
      <c r="J82" s="66"/>
      <c r="K82" s="66"/>
      <c r="L82" s="80"/>
    </row>
    <row r="83" spans="1:12" ht="14.5" customHeight="1">
      <c r="A83" s="75"/>
      <c r="B83" s="123"/>
      <c r="C83" s="77"/>
      <c r="D83" s="66"/>
      <c r="E83" s="126"/>
      <c r="F83" s="89"/>
      <c r="G83" s="130"/>
      <c r="H83" s="130"/>
      <c r="I83" s="99"/>
      <c r="J83" s="66"/>
      <c r="K83" s="82"/>
      <c r="L83" s="80"/>
    </row>
    <row r="84" spans="1:12" ht="14.5" customHeight="1">
      <c r="A84" s="75"/>
      <c r="B84" s="82"/>
      <c r="C84" s="66"/>
      <c r="D84" s="66"/>
      <c r="E84" s="83"/>
      <c r="F84" s="66"/>
      <c r="G84" s="66"/>
      <c r="H84" s="66"/>
      <c r="I84" s="81"/>
      <c r="J84" s="66"/>
      <c r="K84" s="66"/>
      <c r="L84" s="80"/>
    </row>
    <row r="85" spans="1:12" ht="14.5" customHeight="1">
      <c r="A85" s="75"/>
      <c r="B85" s="82"/>
      <c r="C85" s="66"/>
      <c r="D85" s="66"/>
      <c r="E85" s="83"/>
      <c r="F85" s="66"/>
      <c r="G85" s="66"/>
      <c r="H85" s="66"/>
      <c r="I85" s="81"/>
      <c r="J85" s="66"/>
      <c r="K85" s="66"/>
      <c r="L85" s="80"/>
    </row>
    <row r="86" spans="1:12" ht="14.5" customHeight="1">
      <c r="A86" s="75"/>
      <c r="B86" s="82" t="s">
        <v>116</v>
      </c>
      <c r="C86" s="66"/>
      <c r="D86" s="66"/>
      <c r="E86" s="83"/>
      <c r="F86" s="66"/>
      <c r="G86" s="66"/>
      <c r="H86" s="66"/>
      <c r="I86" s="81"/>
      <c r="J86" s="66"/>
      <c r="K86" s="66"/>
      <c r="L86" s="80"/>
    </row>
    <row r="87" spans="1:12" ht="14.5" customHeight="1">
      <c r="A87" s="120"/>
      <c r="B87" s="84" t="s">
        <v>33</v>
      </c>
      <c r="C87" s="84"/>
      <c r="D87" s="84"/>
      <c r="E87" s="83"/>
      <c r="F87" s="66"/>
      <c r="G87" s="66"/>
      <c r="H87" s="66"/>
      <c r="I87" s="85">
        <f>SUM(I81:I85)</f>
        <v>0</v>
      </c>
      <c r="J87" s="66"/>
      <c r="K87" s="66"/>
      <c r="L87" s="80" t="s">
        <v>198</v>
      </c>
    </row>
    <row r="88" spans="1:12" ht="14.5" customHeight="1">
      <c r="A88" s="467" t="s">
        <v>199</v>
      </c>
      <c r="B88" s="468"/>
      <c r="C88" s="468"/>
      <c r="D88" s="468"/>
      <c r="E88" s="468"/>
      <c r="F88" s="468"/>
      <c r="G88" s="468"/>
      <c r="H88" s="468"/>
      <c r="I88" s="468"/>
      <c r="J88" s="468"/>
      <c r="K88" s="468"/>
      <c r="L88" s="469"/>
    </row>
    <row r="89" spans="1:12" ht="14.5" customHeight="1">
      <c r="A89" s="120"/>
      <c r="B89" s="84" t="s">
        <v>109</v>
      </c>
      <c r="C89" s="84"/>
      <c r="D89" s="84"/>
      <c r="E89" s="83"/>
      <c r="F89" s="66"/>
      <c r="G89" s="66"/>
      <c r="H89" s="66"/>
      <c r="I89" s="131">
        <f>I68</f>
        <v>0</v>
      </c>
      <c r="J89" s="66"/>
      <c r="K89" s="66"/>
      <c r="L89" s="80" t="s">
        <v>198</v>
      </c>
    </row>
    <row r="90" spans="1:12" ht="14.5" customHeight="1">
      <c r="A90" s="120"/>
      <c r="B90" s="84" t="s">
        <v>118</v>
      </c>
      <c r="C90" s="84"/>
      <c r="D90" s="84"/>
      <c r="E90" s="83"/>
      <c r="F90" s="66"/>
      <c r="G90" s="66"/>
      <c r="H90" s="66"/>
      <c r="I90" s="131">
        <f>I74</f>
        <v>0</v>
      </c>
      <c r="J90" s="66"/>
      <c r="K90" s="66"/>
      <c r="L90" s="80" t="s">
        <v>198</v>
      </c>
    </row>
    <row r="91" spans="1:12" ht="14.5" customHeight="1">
      <c r="A91" s="120"/>
      <c r="B91" s="84" t="s">
        <v>117</v>
      </c>
      <c r="C91" s="84"/>
      <c r="D91" s="84"/>
      <c r="E91" s="83"/>
      <c r="F91" s="66"/>
      <c r="G91" s="66"/>
      <c r="H91" s="66"/>
      <c r="I91" s="131">
        <f>I79</f>
        <v>0</v>
      </c>
      <c r="J91" s="66"/>
      <c r="K91" s="66"/>
      <c r="L91" s="80" t="s">
        <v>198</v>
      </c>
    </row>
    <row r="92" spans="1:12" ht="14.5" customHeight="1">
      <c r="A92" s="120"/>
      <c r="B92" s="84" t="s">
        <v>200</v>
      </c>
      <c r="C92" s="84"/>
      <c r="D92" s="84"/>
      <c r="E92" s="83"/>
      <c r="F92" s="66"/>
      <c r="G92" s="66"/>
      <c r="H92" s="66"/>
      <c r="I92" s="131">
        <f>I87</f>
        <v>0</v>
      </c>
      <c r="J92" s="66"/>
      <c r="K92" s="66"/>
      <c r="L92" s="80" t="s">
        <v>198</v>
      </c>
    </row>
    <row r="93" spans="1:12" ht="14.5" customHeight="1">
      <c r="A93" s="132"/>
      <c r="B93" s="133" t="s">
        <v>162</v>
      </c>
      <c r="C93" s="133"/>
      <c r="D93" s="133"/>
      <c r="E93" s="134"/>
      <c r="F93" s="135"/>
      <c r="G93" s="135"/>
      <c r="H93" s="135"/>
      <c r="I93" s="136">
        <f>SUM(I89:I92)</f>
        <v>0</v>
      </c>
      <c r="J93" s="135"/>
      <c r="K93" s="135"/>
      <c r="L93" s="80" t="s">
        <v>198</v>
      </c>
    </row>
    <row r="94" spans="1:12" ht="14.5" customHeight="1">
      <c r="A94" s="55"/>
      <c r="E94" s="137"/>
      <c r="J94" s="137"/>
      <c r="K94" s="138"/>
      <c r="L94" s="139"/>
    </row>
    <row r="95" spans="1:12" ht="14.5" customHeight="1">
      <c r="A95" s="140"/>
      <c r="B95" s="141" t="s">
        <v>201</v>
      </c>
      <c r="C95" s="141"/>
      <c r="D95" s="141"/>
      <c r="E95" s="142" t="s">
        <v>202</v>
      </c>
      <c r="F95" s="141"/>
      <c r="G95" s="141"/>
      <c r="H95" s="143" t="s">
        <v>203</v>
      </c>
      <c r="I95" s="143"/>
      <c r="J95" s="141"/>
      <c r="K95" s="144" t="s">
        <v>204</v>
      </c>
      <c r="L95" s="145"/>
    </row>
    <row r="96" spans="1:12" ht="14.5" customHeight="1">
      <c r="K96" s="138"/>
    </row>
    <row r="99" spans="4:5" ht="14.5" customHeight="1">
      <c r="E99" s="146"/>
    </row>
    <row r="100" spans="4:5" ht="14.5" customHeight="1">
      <c r="D100" s="147"/>
    </row>
  </sheetData>
  <autoFilter ref="A20:L93" xr:uid="{00000000-0009-0000-0000-000004000000}"/>
  <mergeCells count="9">
    <mergeCell ref="A70:H70"/>
    <mergeCell ref="A75:H75"/>
    <mergeCell ref="A80:H80"/>
    <mergeCell ref="A88:L88"/>
    <mergeCell ref="A1:L1"/>
    <mergeCell ref="A12:B12"/>
    <mergeCell ref="C12:L12"/>
    <mergeCell ref="A13:H13"/>
    <mergeCell ref="A19:H19"/>
  </mergeCells>
  <phoneticPr fontId="19" type="noConversion"/>
  <dataValidations count="5">
    <dataValidation type="list" allowBlank="1" showInputMessage="1" showErrorMessage="1" sqref="C15:C16" xr:uid="{00000000-0002-0000-0400-000000000000}">
      <formula1>$C$5:$C$6</formula1>
    </dataValidation>
    <dataValidation type="list" allowBlank="1" showInputMessage="1" showErrorMessage="1" sqref="C21:C65 C71:C72 C81:C83" xr:uid="{00000000-0002-0000-0400-000001000000}">
      <formula1>$D$2:$D$3</formula1>
    </dataValidation>
    <dataValidation type="list" allowBlank="1" showInputMessage="1" showErrorMessage="1" sqref="D15:D17" xr:uid="{00000000-0002-0000-0400-000002000000}">
      <formula1>$D$5:$D$6</formula1>
    </dataValidation>
    <dataValidation type="list" allowBlank="1" showInputMessage="1" showErrorMessage="1" sqref="D21:D65 D71:D72 D81:D83" xr:uid="{00000000-0002-0000-0400-000003000000}">
      <formula1>$E$2:$E$11</formula1>
    </dataValidation>
    <dataValidation type="list" allowBlank="1" showInputMessage="1" showErrorMessage="1" sqref="J15:J17 J21:J41 J43:J83" xr:uid="{00000000-0002-0000-0400-000004000000}">
      <formula1>$J$2</formula1>
    </dataValidation>
  </dataValidations>
  <hyperlinks>
    <hyperlink ref="K95" location="填写首页!A1" display="点击返还首页" xr:uid="{00000000-0004-0000-0400-000000000000}"/>
  </hyperlinks>
  <printOptions horizontalCentered="1"/>
  <pageMargins left="0" right="0" top="0.118055555555556" bottom="7.8472222222222193E-2" header="0" footer="0"/>
  <pageSetup paperSize="9" scale="84" fitToHeight="0" orientation="landscape"/>
  <headerFooter alignWithMargins="0"/>
  <colBreaks count="1" manualBreakCount="1">
    <brk id="12" max="1048575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48"/>
  <sheetViews>
    <sheetView showGridLines="0" workbookViewId="0">
      <selection activeCell="D20" sqref="D20"/>
    </sheetView>
  </sheetViews>
  <sheetFormatPr baseColWidth="10" defaultColWidth="9" defaultRowHeight="15"/>
  <cols>
    <col min="1" max="1" width="10.5" customWidth="1"/>
    <col min="2" max="2" width="4.33203125" customWidth="1"/>
    <col min="3" max="3" width="14.5" customWidth="1"/>
    <col min="4" max="4" width="13.33203125" customWidth="1"/>
    <col min="5" max="5" width="14.6640625" customWidth="1"/>
    <col min="6" max="7" width="13.33203125" customWidth="1"/>
    <col min="8" max="8" width="14" customWidth="1"/>
    <col min="9" max="9" width="13.33203125" customWidth="1"/>
    <col min="10" max="10" width="13.5" customWidth="1"/>
    <col min="11" max="11" width="13.33203125" customWidth="1"/>
  </cols>
  <sheetData>
    <row r="1" spans="1:11">
      <c r="A1" s="1"/>
      <c r="B1" s="2"/>
      <c r="C1" s="3" t="s">
        <v>205</v>
      </c>
      <c r="D1" s="4"/>
      <c r="E1" s="4"/>
      <c r="F1" s="5"/>
      <c r="G1" s="5"/>
      <c r="H1" s="5"/>
      <c r="I1" s="5"/>
      <c r="J1" s="6"/>
      <c r="K1" s="7"/>
    </row>
    <row r="2" spans="1:11" hidden="1">
      <c r="A2" s="8"/>
      <c r="B2" s="9"/>
      <c r="G2" t="s">
        <v>206</v>
      </c>
      <c r="J2" s="10"/>
      <c r="K2" s="11"/>
    </row>
    <row r="3" spans="1:11" hidden="1">
      <c r="A3" s="8"/>
      <c r="B3" s="9"/>
      <c r="G3" t="s">
        <v>207</v>
      </c>
      <c r="J3" s="10"/>
      <c r="K3" s="11"/>
    </row>
    <row r="4" spans="1:11" hidden="1">
      <c r="A4" s="8"/>
      <c r="B4" s="9"/>
      <c r="G4" t="s">
        <v>208</v>
      </c>
      <c r="J4" s="10"/>
      <c r="K4" s="11"/>
    </row>
    <row r="5" spans="1:11" hidden="1">
      <c r="A5" s="8"/>
      <c r="B5" s="9"/>
      <c r="G5" t="s">
        <v>209</v>
      </c>
      <c r="J5" s="10"/>
      <c r="K5" s="11"/>
    </row>
    <row r="6" spans="1:11" hidden="1">
      <c r="A6" s="8"/>
      <c r="B6" s="9"/>
      <c r="G6" t="s">
        <v>210</v>
      </c>
      <c r="J6" s="10"/>
      <c r="K6" s="11"/>
    </row>
    <row r="7" spans="1:11" hidden="1">
      <c r="A7" s="8"/>
      <c r="B7" s="9"/>
      <c r="G7" t="s">
        <v>211</v>
      </c>
      <c r="J7" s="10"/>
      <c r="K7" s="11"/>
    </row>
    <row r="8" spans="1:11" hidden="1">
      <c r="A8" s="8"/>
      <c r="B8" s="9"/>
      <c r="G8" t="s">
        <v>212</v>
      </c>
      <c r="J8" s="10"/>
      <c r="K8" s="11"/>
    </row>
    <row r="9" spans="1:11" hidden="1">
      <c r="A9" s="8"/>
      <c r="B9" s="9"/>
      <c r="G9" t="s">
        <v>213</v>
      </c>
      <c r="J9" s="10"/>
      <c r="K9" s="11"/>
    </row>
    <row r="10" spans="1:11" hidden="1">
      <c r="A10" s="8"/>
      <c r="B10" s="9"/>
      <c r="G10" t="s">
        <v>214</v>
      </c>
      <c r="J10" s="10"/>
      <c r="K10" s="11"/>
    </row>
    <row r="11" spans="1:11" hidden="1">
      <c r="A11" s="8"/>
      <c r="B11" s="9"/>
      <c r="G11" t="s">
        <v>215</v>
      </c>
      <c r="J11" s="10"/>
      <c r="K11" s="11"/>
    </row>
    <row r="12" spans="1:11" hidden="1">
      <c r="A12" s="8"/>
      <c r="B12" s="9"/>
      <c r="G12" t="s">
        <v>216</v>
      </c>
      <c r="J12" s="10"/>
      <c r="K12" s="11"/>
    </row>
    <row r="13" spans="1:11" hidden="1">
      <c r="A13" s="8"/>
      <c r="B13" s="9"/>
      <c r="G13" t="s">
        <v>217</v>
      </c>
      <c r="J13" s="10"/>
      <c r="K13" s="11"/>
    </row>
    <row r="14" spans="1:11" hidden="1">
      <c r="A14" s="8"/>
      <c r="B14" s="9"/>
      <c r="G14" t="s">
        <v>4</v>
      </c>
      <c r="J14" s="10"/>
      <c r="K14" s="11"/>
    </row>
    <row r="15" spans="1:11" hidden="1">
      <c r="A15" s="8"/>
      <c r="B15" s="9"/>
      <c r="G15" t="s">
        <v>218</v>
      </c>
      <c r="J15" s="10"/>
      <c r="K15" s="11"/>
    </row>
    <row r="16" spans="1:11">
      <c r="A16" s="478" t="s">
        <v>219</v>
      </c>
      <c r="B16" s="479"/>
      <c r="C16" s="479"/>
      <c r="D16" s="479"/>
      <c r="E16" s="479"/>
      <c r="F16" s="479"/>
      <c r="G16" s="479"/>
      <c r="H16" s="479"/>
      <c r="I16" s="479"/>
      <c r="J16" s="479"/>
      <c r="K16" s="12"/>
    </row>
    <row r="17" spans="1:11" ht="17">
      <c r="A17" s="13" t="s">
        <v>220</v>
      </c>
      <c r="B17" s="14"/>
      <c r="C17" s="15"/>
      <c r="E17" s="16" t="s">
        <v>221</v>
      </c>
      <c r="G17" s="16" t="s">
        <v>222</v>
      </c>
      <c r="I17" s="17" t="s">
        <v>223</v>
      </c>
      <c r="J17" s="18"/>
      <c r="K17" s="19"/>
    </row>
    <row r="18" spans="1:11">
      <c r="A18" s="480" t="s">
        <v>224</v>
      </c>
      <c r="B18" s="481"/>
      <c r="C18" s="481"/>
      <c r="D18" s="481"/>
      <c r="E18" s="481"/>
      <c r="F18" s="481"/>
      <c r="G18" s="481"/>
      <c r="H18" s="481"/>
      <c r="I18" s="481"/>
      <c r="J18" s="481"/>
      <c r="K18" s="482"/>
    </row>
    <row r="19" spans="1:11" ht="16" customHeight="1">
      <c r="A19" s="492" t="s">
        <v>225</v>
      </c>
      <c r="B19" s="493"/>
      <c r="C19" s="20" t="s">
        <v>226</v>
      </c>
      <c r="D19" s="483"/>
      <c r="E19" s="483"/>
      <c r="F19" s="483"/>
      <c r="G19" s="483"/>
      <c r="H19" s="21" t="s">
        <v>227</v>
      </c>
      <c r="I19" s="484">
        <v>11400</v>
      </c>
      <c r="J19" s="485"/>
      <c r="K19" s="486"/>
    </row>
    <row r="20" spans="1:11" ht="16" customHeight="1">
      <c r="A20" s="494"/>
      <c r="B20" s="495"/>
      <c r="C20" s="23" t="s">
        <v>228</v>
      </c>
      <c r="D20" s="24">
        <v>44973</v>
      </c>
      <c r="E20" s="25" t="s">
        <v>229</v>
      </c>
      <c r="F20" s="487" t="s">
        <v>4</v>
      </c>
      <c r="G20" s="487"/>
      <c r="H20" s="25" t="s">
        <v>230</v>
      </c>
      <c r="I20" s="484">
        <v>11400</v>
      </c>
      <c r="J20" s="485"/>
      <c r="K20" s="486"/>
    </row>
    <row r="21" spans="1:11" ht="16" customHeight="1">
      <c r="A21" s="494"/>
      <c r="B21" s="495"/>
      <c r="C21" s="23" t="s">
        <v>231</v>
      </c>
      <c r="D21" s="24">
        <v>44981</v>
      </c>
      <c r="E21" s="25" t="s">
        <v>232</v>
      </c>
      <c r="F21" s="487" t="s">
        <v>4</v>
      </c>
      <c r="G21" s="487"/>
      <c r="H21" s="25" t="s">
        <v>233</v>
      </c>
      <c r="I21" s="502">
        <v>0</v>
      </c>
      <c r="J21" s="503"/>
      <c r="K21" s="504"/>
    </row>
    <row r="22" spans="1:11" ht="16" customHeight="1">
      <c r="A22" s="494"/>
      <c r="B22" s="495"/>
      <c r="C22" s="23" t="s">
        <v>234</v>
      </c>
      <c r="D22" s="26">
        <v>9</v>
      </c>
      <c r="E22" s="27" t="s">
        <v>235</v>
      </c>
      <c r="F22" s="487" t="s">
        <v>236</v>
      </c>
      <c r="G22" s="487"/>
      <c r="H22" s="25" t="s">
        <v>237</v>
      </c>
      <c r="I22" s="502">
        <v>0</v>
      </c>
      <c r="J22" s="503"/>
      <c r="K22" s="504"/>
    </row>
    <row r="23" spans="1:11" ht="16" customHeight="1">
      <c r="A23" s="494"/>
      <c r="B23" s="495"/>
      <c r="C23" s="23" t="s">
        <v>238</v>
      </c>
      <c r="D23" s="26">
        <v>500</v>
      </c>
      <c r="E23" s="27" t="s">
        <v>239</v>
      </c>
      <c r="F23" s="487" t="s">
        <v>236</v>
      </c>
      <c r="G23" s="487"/>
      <c r="H23" s="25" t="s">
        <v>240</v>
      </c>
      <c r="I23" s="484">
        <v>6636.62</v>
      </c>
      <c r="J23" s="485"/>
      <c r="K23" s="486"/>
    </row>
    <row r="24" spans="1:11" ht="16" customHeight="1">
      <c r="A24" s="494"/>
      <c r="B24" s="495"/>
      <c r="C24" s="23" t="s">
        <v>241</v>
      </c>
      <c r="D24" s="24">
        <v>44994</v>
      </c>
      <c r="E24" s="25" t="s">
        <v>242</v>
      </c>
      <c r="F24" s="487" t="s">
        <v>198</v>
      </c>
      <c r="G24" s="487"/>
      <c r="H24" s="25" t="s">
        <v>243</v>
      </c>
      <c r="I24" s="484">
        <v>11400</v>
      </c>
      <c r="J24" s="485"/>
      <c r="K24" s="486"/>
    </row>
    <row r="25" spans="1:11" ht="16" customHeight="1">
      <c r="A25" s="28" t="s">
        <v>244</v>
      </c>
      <c r="B25" s="496" t="s">
        <v>245</v>
      </c>
      <c r="C25" s="496"/>
      <c r="D25" s="29" t="s">
        <v>246</v>
      </c>
      <c r="E25" s="30" t="s">
        <v>247</v>
      </c>
      <c r="F25" s="30" t="s">
        <v>248</v>
      </c>
      <c r="G25" s="30" t="s">
        <v>249</v>
      </c>
      <c r="H25" s="30" t="s">
        <v>250</v>
      </c>
      <c r="I25" s="30" t="s">
        <v>251</v>
      </c>
      <c r="J25" s="31" t="s">
        <v>252</v>
      </c>
      <c r="K25" s="32" t="s">
        <v>253</v>
      </c>
    </row>
    <row r="26" spans="1:11" ht="16" customHeight="1">
      <c r="A26" s="494" t="s">
        <v>254</v>
      </c>
      <c r="B26" s="33" t="s">
        <v>255</v>
      </c>
      <c r="C26" s="34" t="s">
        <v>256</v>
      </c>
      <c r="D26" s="35">
        <v>0</v>
      </c>
      <c r="E26" s="35">
        <v>0</v>
      </c>
      <c r="F26" s="36">
        <f t="shared" ref="F26:F43" si="0">D26-E26</f>
        <v>0</v>
      </c>
      <c r="G26" s="36">
        <f t="shared" ref="G26:G38" si="1">F26/($F$44-$F$39-$F$40-$F$41)*($E$39+$E$40+$E$41)</f>
        <v>0</v>
      </c>
      <c r="H26" s="37">
        <f t="shared" ref="H26:H38" si="2">D26-E26-G26</f>
        <v>0</v>
      </c>
      <c r="I26" s="38" t="e">
        <f t="shared" ref="I26:I43" si="3">F26/D26</f>
        <v>#DIV/0!</v>
      </c>
      <c r="J26" s="38" t="e">
        <f t="shared" ref="J26:J44" si="4">H26/D26</f>
        <v>#DIV/0!</v>
      </c>
      <c r="K26" s="39">
        <f t="shared" ref="K26:K43" si="5">H26/$H$44</f>
        <v>0</v>
      </c>
    </row>
    <row r="27" spans="1:11" ht="16" customHeight="1">
      <c r="A27" s="494"/>
      <c r="B27" s="33" t="s">
        <v>257</v>
      </c>
      <c r="C27" s="34" t="s">
        <v>258</v>
      </c>
      <c r="D27" s="35">
        <v>0</v>
      </c>
      <c r="E27" s="35">
        <v>0</v>
      </c>
      <c r="F27" s="36">
        <f t="shared" si="0"/>
        <v>0</v>
      </c>
      <c r="G27" s="36">
        <f t="shared" si="1"/>
        <v>0</v>
      </c>
      <c r="H27" s="37">
        <f t="shared" si="2"/>
        <v>0</v>
      </c>
      <c r="I27" s="38" t="e">
        <f t="shared" si="3"/>
        <v>#DIV/0!</v>
      </c>
      <c r="J27" s="38" t="e">
        <f t="shared" si="4"/>
        <v>#DIV/0!</v>
      </c>
      <c r="K27" s="39">
        <f t="shared" si="5"/>
        <v>0</v>
      </c>
    </row>
    <row r="28" spans="1:11" ht="16" customHeight="1">
      <c r="A28" s="494"/>
      <c r="B28" s="33" t="s">
        <v>259</v>
      </c>
      <c r="C28" s="40" t="s">
        <v>260</v>
      </c>
      <c r="D28" s="35">
        <v>0</v>
      </c>
      <c r="E28" s="35">
        <v>0</v>
      </c>
      <c r="F28" s="36">
        <f t="shared" si="0"/>
        <v>0</v>
      </c>
      <c r="G28" s="36">
        <f t="shared" si="1"/>
        <v>0</v>
      </c>
      <c r="H28" s="37">
        <f t="shared" si="2"/>
        <v>0</v>
      </c>
      <c r="I28" s="38" t="e">
        <f t="shared" si="3"/>
        <v>#DIV/0!</v>
      </c>
      <c r="J28" s="38" t="e">
        <f t="shared" si="4"/>
        <v>#DIV/0!</v>
      </c>
      <c r="K28" s="39">
        <f t="shared" si="5"/>
        <v>0</v>
      </c>
    </row>
    <row r="29" spans="1:11" ht="16" customHeight="1">
      <c r="A29" s="494"/>
      <c r="B29" s="33" t="s">
        <v>261</v>
      </c>
      <c r="C29" s="40" t="s">
        <v>262</v>
      </c>
      <c r="D29" s="35">
        <v>0</v>
      </c>
      <c r="E29" s="35">
        <v>0</v>
      </c>
      <c r="F29" s="36">
        <f t="shared" si="0"/>
        <v>0</v>
      </c>
      <c r="G29" s="36">
        <f t="shared" si="1"/>
        <v>0</v>
      </c>
      <c r="H29" s="37">
        <f t="shared" si="2"/>
        <v>0</v>
      </c>
      <c r="I29" s="38" t="e">
        <f t="shared" si="3"/>
        <v>#DIV/0!</v>
      </c>
      <c r="J29" s="38" t="e">
        <f t="shared" si="4"/>
        <v>#DIV/0!</v>
      </c>
      <c r="K29" s="39">
        <f t="shared" si="5"/>
        <v>0</v>
      </c>
    </row>
    <row r="30" spans="1:11" ht="16" customHeight="1">
      <c r="A30" s="494"/>
      <c r="B30" s="33" t="s">
        <v>263</v>
      </c>
      <c r="C30" s="40" t="s">
        <v>264</v>
      </c>
      <c r="D30" s="35">
        <v>0</v>
      </c>
      <c r="E30" s="35">
        <v>0</v>
      </c>
      <c r="F30" s="36">
        <f t="shared" si="0"/>
        <v>0</v>
      </c>
      <c r="G30" s="36">
        <f t="shared" si="1"/>
        <v>0</v>
      </c>
      <c r="H30" s="37">
        <f t="shared" si="2"/>
        <v>0</v>
      </c>
      <c r="I30" s="38" t="e">
        <f t="shared" si="3"/>
        <v>#DIV/0!</v>
      </c>
      <c r="J30" s="38" t="e">
        <f t="shared" si="4"/>
        <v>#DIV/0!</v>
      </c>
      <c r="K30" s="39">
        <f t="shared" si="5"/>
        <v>0</v>
      </c>
    </row>
    <row r="31" spans="1:11" ht="16" customHeight="1">
      <c r="A31" s="494"/>
      <c r="B31" s="33" t="s">
        <v>265</v>
      </c>
      <c r="C31" s="34" t="s">
        <v>266</v>
      </c>
      <c r="D31" s="35">
        <v>0</v>
      </c>
      <c r="E31" s="35">
        <v>0</v>
      </c>
      <c r="F31" s="36">
        <f t="shared" si="0"/>
        <v>0</v>
      </c>
      <c r="G31" s="36">
        <f t="shared" si="1"/>
        <v>0</v>
      </c>
      <c r="H31" s="41">
        <f t="shared" si="2"/>
        <v>0</v>
      </c>
      <c r="I31" s="38" t="e">
        <f t="shared" si="3"/>
        <v>#DIV/0!</v>
      </c>
      <c r="J31" s="38" t="e">
        <f t="shared" si="4"/>
        <v>#DIV/0!</v>
      </c>
      <c r="K31" s="39">
        <f t="shared" si="5"/>
        <v>0</v>
      </c>
    </row>
    <row r="32" spans="1:11" ht="16" customHeight="1">
      <c r="A32" s="42"/>
      <c r="B32" s="33" t="s">
        <v>255</v>
      </c>
      <c r="C32" s="34" t="s">
        <v>267</v>
      </c>
      <c r="D32" s="35">
        <v>0</v>
      </c>
      <c r="E32" s="35">
        <v>0</v>
      </c>
      <c r="F32" s="36">
        <f t="shared" si="0"/>
        <v>0</v>
      </c>
      <c r="G32" s="36">
        <f t="shared" si="1"/>
        <v>0</v>
      </c>
      <c r="H32" s="41">
        <f t="shared" si="2"/>
        <v>0</v>
      </c>
      <c r="I32" s="38" t="e">
        <f t="shared" si="3"/>
        <v>#DIV/0!</v>
      </c>
      <c r="J32" s="38" t="e">
        <f t="shared" si="4"/>
        <v>#DIV/0!</v>
      </c>
      <c r="K32" s="39">
        <f t="shared" si="5"/>
        <v>0</v>
      </c>
    </row>
    <row r="33" spans="1:11" ht="16" customHeight="1">
      <c r="A33" s="499" t="s">
        <v>268</v>
      </c>
      <c r="B33" s="33" t="s">
        <v>257</v>
      </c>
      <c r="C33" s="34" t="s">
        <v>269</v>
      </c>
      <c r="D33" s="35">
        <v>0</v>
      </c>
      <c r="E33" s="35">
        <v>0</v>
      </c>
      <c r="F33" s="36">
        <f t="shared" si="0"/>
        <v>0</v>
      </c>
      <c r="G33" s="36">
        <f t="shared" si="1"/>
        <v>0</v>
      </c>
      <c r="H33" s="41">
        <f t="shared" si="2"/>
        <v>0</v>
      </c>
      <c r="I33" s="38" t="e">
        <f t="shared" si="3"/>
        <v>#DIV/0!</v>
      </c>
      <c r="J33" s="38" t="e">
        <f t="shared" si="4"/>
        <v>#DIV/0!</v>
      </c>
      <c r="K33" s="39">
        <f t="shared" si="5"/>
        <v>0</v>
      </c>
    </row>
    <row r="34" spans="1:11" ht="16" customHeight="1">
      <c r="A34" s="499"/>
      <c r="B34" s="33" t="s">
        <v>259</v>
      </c>
      <c r="C34" s="34" t="s">
        <v>270</v>
      </c>
      <c r="D34" s="35">
        <v>0</v>
      </c>
      <c r="E34" s="35">
        <v>0</v>
      </c>
      <c r="F34" s="36">
        <f t="shared" si="0"/>
        <v>0</v>
      </c>
      <c r="G34" s="36">
        <f t="shared" si="1"/>
        <v>0</v>
      </c>
      <c r="H34" s="41">
        <f t="shared" si="2"/>
        <v>0</v>
      </c>
      <c r="I34" s="38" t="e">
        <f t="shared" si="3"/>
        <v>#DIV/0!</v>
      </c>
      <c r="J34" s="38" t="e">
        <f t="shared" si="4"/>
        <v>#DIV/0!</v>
      </c>
      <c r="K34" s="39">
        <f t="shared" si="5"/>
        <v>0</v>
      </c>
    </row>
    <row r="35" spans="1:11" ht="16" customHeight="1">
      <c r="A35" s="499"/>
      <c r="B35" s="33" t="s">
        <v>261</v>
      </c>
      <c r="C35" s="34" t="s">
        <v>271</v>
      </c>
      <c r="D35" s="35">
        <v>0</v>
      </c>
      <c r="E35" s="35">
        <v>0</v>
      </c>
      <c r="F35" s="36">
        <f t="shared" si="0"/>
        <v>0</v>
      </c>
      <c r="G35" s="36">
        <f t="shared" si="1"/>
        <v>0</v>
      </c>
      <c r="H35" s="41">
        <f t="shared" si="2"/>
        <v>0</v>
      </c>
      <c r="I35" s="38" t="e">
        <f t="shared" si="3"/>
        <v>#DIV/0!</v>
      </c>
      <c r="J35" s="38" t="e">
        <f t="shared" si="4"/>
        <v>#DIV/0!</v>
      </c>
      <c r="K35" s="39">
        <f t="shared" si="5"/>
        <v>0</v>
      </c>
    </row>
    <row r="36" spans="1:11" ht="16" customHeight="1">
      <c r="A36" s="499"/>
      <c r="B36" s="33" t="s">
        <v>263</v>
      </c>
      <c r="C36" s="34" t="s">
        <v>272</v>
      </c>
      <c r="D36" s="35">
        <v>0</v>
      </c>
      <c r="E36" s="35">
        <v>0</v>
      </c>
      <c r="F36" s="36">
        <f t="shared" si="0"/>
        <v>0</v>
      </c>
      <c r="G36" s="36">
        <f t="shared" si="1"/>
        <v>0</v>
      </c>
      <c r="H36" s="41">
        <f t="shared" si="2"/>
        <v>0</v>
      </c>
      <c r="I36" s="38" t="e">
        <f t="shared" si="3"/>
        <v>#DIV/0!</v>
      </c>
      <c r="J36" s="38" t="e">
        <f t="shared" si="4"/>
        <v>#DIV/0!</v>
      </c>
      <c r="K36" s="39">
        <f t="shared" si="5"/>
        <v>0</v>
      </c>
    </row>
    <row r="37" spans="1:11" ht="16" customHeight="1">
      <c r="A37" s="500"/>
      <c r="B37" s="33" t="s">
        <v>265</v>
      </c>
      <c r="C37" s="34" t="s">
        <v>273</v>
      </c>
      <c r="D37" s="35">
        <v>0</v>
      </c>
      <c r="E37" s="35">
        <v>0</v>
      </c>
      <c r="F37" s="36">
        <f t="shared" si="0"/>
        <v>0</v>
      </c>
      <c r="G37" s="36">
        <f t="shared" si="1"/>
        <v>0</v>
      </c>
      <c r="H37" s="41">
        <f t="shared" si="2"/>
        <v>0</v>
      </c>
      <c r="I37" s="38" t="e">
        <f t="shared" si="3"/>
        <v>#DIV/0!</v>
      </c>
      <c r="J37" s="38" t="e">
        <f t="shared" si="4"/>
        <v>#DIV/0!</v>
      </c>
      <c r="K37" s="39">
        <f t="shared" si="5"/>
        <v>0</v>
      </c>
    </row>
    <row r="38" spans="1:11" ht="16" customHeight="1">
      <c r="A38" s="42" t="s">
        <v>274</v>
      </c>
      <c r="B38" s="33" t="s">
        <v>255</v>
      </c>
      <c r="C38" s="34" t="s">
        <v>275</v>
      </c>
      <c r="D38" s="35">
        <v>11400</v>
      </c>
      <c r="E38" s="35">
        <v>0</v>
      </c>
      <c r="F38" s="36">
        <f t="shared" si="0"/>
        <v>11400</v>
      </c>
      <c r="G38" s="36">
        <f t="shared" si="1"/>
        <v>8193.8234376624696</v>
      </c>
      <c r="H38" s="41">
        <f t="shared" si="2"/>
        <v>3206.17656233753</v>
      </c>
      <c r="I38" s="38">
        <f t="shared" si="3"/>
        <v>1</v>
      </c>
      <c r="J38" s="38">
        <f t="shared" si="4"/>
        <v>0.28124355809978302</v>
      </c>
      <c r="K38" s="39">
        <f t="shared" si="5"/>
        <v>1.0398253093480301</v>
      </c>
    </row>
    <row r="39" spans="1:11" ht="16" customHeight="1">
      <c r="A39" s="501" t="s">
        <v>276</v>
      </c>
      <c r="B39" s="33" t="s">
        <v>255</v>
      </c>
      <c r="C39" s="34" t="s">
        <v>173</v>
      </c>
      <c r="D39" s="35">
        <v>0</v>
      </c>
      <c r="E39" s="35">
        <v>7880</v>
      </c>
      <c r="F39" s="36">
        <f t="shared" si="0"/>
        <v>-7880</v>
      </c>
      <c r="G39" s="36"/>
      <c r="H39" s="41"/>
      <c r="I39" s="38" t="e">
        <f t="shared" si="3"/>
        <v>#DIV/0!</v>
      </c>
      <c r="J39" s="38" t="e">
        <f t="shared" si="4"/>
        <v>#DIV/0!</v>
      </c>
      <c r="K39" s="39">
        <f t="shared" si="5"/>
        <v>0</v>
      </c>
    </row>
    <row r="40" spans="1:11" ht="16" customHeight="1">
      <c r="A40" s="499"/>
      <c r="B40" s="33" t="s">
        <v>257</v>
      </c>
      <c r="C40" s="34" t="s">
        <v>277</v>
      </c>
      <c r="D40" s="35">
        <v>0</v>
      </c>
      <c r="E40" s="35">
        <v>0</v>
      </c>
      <c r="F40" s="36">
        <f t="shared" si="0"/>
        <v>0</v>
      </c>
      <c r="G40" s="36"/>
      <c r="H40" s="41"/>
      <c r="I40" s="38" t="e">
        <f t="shared" si="3"/>
        <v>#DIV/0!</v>
      </c>
      <c r="J40" s="38" t="e">
        <f t="shared" si="4"/>
        <v>#DIV/0!</v>
      </c>
      <c r="K40" s="39">
        <f t="shared" si="5"/>
        <v>0</v>
      </c>
    </row>
    <row r="41" spans="1:11" ht="16" customHeight="1">
      <c r="A41" s="499"/>
      <c r="B41" s="33" t="s">
        <v>259</v>
      </c>
      <c r="C41" s="34" t="s">
        <v>46</v>
      </c>
      <c r="D41" s="35">
        <v>0</v>
      </c>
      <c r="E41" s="35">
        <v>0</v>
      </c>
      <c r="F41" s="36">
        <f t="shared" si="0"/>
        <v>0</v>
      </c>
      <c r="G41" s="36"/>
      <c r="H41" s="37"/>
      <c r="I41" s="38" t="e">
        <f t="shared" si="3"/>
        <v>#DIV/0!</v>
      </c>
      <c r="J41" s="38" t="e">
        <f t="shared" si="4"/>
        <v>#DIV/0!</v>
      </c>
      <c r="K41" s="39">
        <f t="shared" si="5"/>
        <v>0</v>
      </c>
    </row>
    <row r="42" spans="1:11" ht="16" customHeight="1">
      <c r="A42" s="499"/>
      <c r="B42" s="33" t="s">
        <v>261</v>
      </c>
      <c r="C42" s="34" t="s">
        <v>47</v>
      </c>
      <c r="D42" s="35">
        <v>0</v>
      </c>
      <c r="E42" s="35">
        <v>0</v>
      </c>
      <c r="F42" s="36">
        <f t="shared" si="0"/>
        <v>0</v>
      </c>
      <c r="G42" s="36">
        <f>F42/($F$44-$F$39-$F$40-$F$41)*($E$39+$E$40+$E$41)</f>
        <v>0</v>
      </c>
      <c r="H42" s="37">
        <f>D42-E42-G42</f>
        <v>0</v>
      </c>
      <c r="I42" s="38" t="e">
        <f t="shared" si="3"/>
        <v>#DIV/0!</v>
      </c>
      <c r="J42" s="38" t="e">
        <f t="shared" si="4"/>
        <v>#DIV/0!</v>
      </c>
      <c r="K42" s="39">
        <f t="shared" si="5"/>
        <v>0</v>
      </c>
    </row>
    <row r="43" spans="1:11" ht="16" customHeight="1">
      <c r="A43" s="500"/>
      <c r="B43" s="33" t="s">
        <v>263</v>
      </c>
      <c r="C43" s="34" t="s">
        <v>278</v>
      </c>
      <c r="D43" s="35">
        <v>0</v>
      </c>
      <c r="E43" s="35">
        <v>436.62</v>
      </c>
      <c r="F43" s="36">
        <f t="shared" si="0"/>
        <v>-436.62</v>
      </c>
      <c r="G43" s="36">
        <f>F43/($F$44-$F$39-$F$40-$F$41)*($E$39+$E$40+$E$41)</f>
        <v>-313.823437662473</v>
      </c>
      <c r="H43" s="37">
        <f>D43-E43-G43</f>
        <v>-122.79656233752701</v>
      </c>
      <c r="I43" s="38" t="e">
        <f t="shared" si="3"/>
        <v>#DIV/0!</v>
      </c>
      <c r="J43" s="38" t="e">
        <f t="shared" si="4"/>
        <v>#DIV/0!</v>
      </c>
      <c r="K43" s="39">
        <f t="shared" si="5"/>
        <v>-3.9825309348029497E-2</v>
      </c>
    </row>
    <row r="44" spans="1:11" ht="16" customHeight="1">
      <c r="A44" s="497" t="s">
        <v>279</v>
      </c>
      <c r="B44" s="498"/>
      <c r="C44" s="498"/>
      <c r="D44" s="43"/>
      <c r="E44" s="43"/>
      <c r="F44" s="43">
        <f>SUM(F26:F43)</f>
        <v>3083.38</v>
      </c>
      <c r="G44" s="43">
        <f>SUM(G26:G43)</f>
        <v>7880</v>
      </c>
      <c r="H44" s="43">
        <f>SUM(H26:H43)</f>
        <v>3083.38</v>
      </c>
      <c r="I44" s="44" t="e">
        <f>H44/D44</f>
        <v>#DIV/0!</v>
      </c>
      <c r="J44" s="45" t="e">
        <f t="shared" si="4"/>
        <v>#DIV/0!</v>
      </c>
      <c r="K44" s="46">
        <f>SUM(K26:K43)</f>
        <v>1</v>
      </c>
    </row>
    <row r="45" spans="1:11" ht="18.75" customHeight="1">
      <c r="A45" s="488" t="s">
        <v>280</v>
      </c>
      <c r="B45" s="489"/>
      <c r="C45" s="47" t="s">
        <v>281</v>
      </c>
      <c r="D45" s="22" t="s">
        <v>282</v>
      </c>
      <c r="E45" s="47" t="s">
        <v>283</v>
      </c>
      <c r="F45" s="47" t="s">
        <v>277</v>
      </c>
      <c r="G45" s="47" t="s">
        <v>178</v>
      </c>
      <c r="H45" s="47" t="s">
        <v>284</v>
      </c>
      <c r="I45" s="47" t="s">
        <v>285</v>
      </c>
      <c r="J45" s="48" t="s">
        <v>286</v>
      </c>
      <c r="K45" s="49" t="s">
        <v>287</v>
      </c>
    </row>
    <row r="46" spans="1:11" ht="21" customHeight="1">
      <c r="A46" s="490"/>
      <c r="B46" s="491"/>
      <c r="C46" s="50">
        <v>11400</v>
      </c>
      <c r="D46" s="51">
        <f>D42</f>
        <v>0</v>
      </c>
      <c r="E46" s="51">
        <f>SUM(E26:E45)</f>
        <v>8316.6200000000008</v>
      </c>
      <c r="F46" s="52">
        <f>E40</f>
        <v>0</v>
      </c>
      <c r="G46" s="52">
        <f>E41</f>
        <v>0</v>
      </c>
      <c r="H46" s="52">
        <f>E42</f>
        <v>0</v>
      </c>
      <c r="I46" s="52">
        <f>C46-E46</f>
        <v>3083.38</v>
      </c>
      <c r="J46" s="53">
        <f>I46/(C46+D46)</f>
        <v>0.27047192982456097</v>
      </c>
      <c r="K46" s="54">
        <f>E39/(F44+E39)</f>
        <v>0.71875644190021704</v>
      </c>
    </row>
    <row r="47" spans="1:11">
      <c r="A47" s="55" t="s">
        <v>288</v>
      </c>
      <c r="K47" s="56" t="s">
        <v>93</v>
      </c>
    </row>
    <row r="48" spans="1:11">
      <c r="A48" s="57" t="s">
        <v>289</v>
      </c>
      <c r="B48" s="58"/>
      <c r="C48" s="58"/>
      <c r="D48" s="58"/>
      <c r="E48" s="58"/>
      <c r="F48" s="58"/>
      <c r="G48" s="58"/>
      <c r="H48" s="58"/>
      <c r="I48" s="58"/>
      <c r="J48" s="58"/>
      <c r="K48" s="59"/>
    </row>
  </sheetData>
  <mergeCells count="21">
    <mergeCell ref="A45:B46"/>
    <mergeCell ref="A19:B24"/>
    <mergeCell ref="F24:G24"/>
    <mergeCell ref="I24:K24"/>
    <mergeCell ref="B25:C25"/>
    <mergeCell ref="A44:C44"/>
    <mergeCell ref="A26:A31"/>
    <mergeCell ref="A33:A37"/>
    <mergeCell ref="A39:A43"/>
    <mergeCell ref="F21:G21"/>
    <mergeCell ref="I21:K21"/>
    <mergeCell ref="F22:G22"/>
    <mergeCell ref="I22:K22"/>
    <mergeCell ref="F23:G23"/>
    <mergeCell ref="I23:K23"/>
    <mergeCell ref="A16:J16"/>
    <mergeCell ref="A18:K18"/>
    <mergeCell ref="D19:G19"/>
    <mergeCell ref="I19:K19"/>
    <mergeCell ref="F20:G20"/>
    <mergeCell ref="I20:K20"/>
  </mergeCells>
  <phoneticPr fontId="19" type="noConversion"/>
  <dataValidations count="1">
    <dataValidation type="list" allowBlank="1" showInputMessage="1" showErrorMessage="1" sqref="G2 F20:G21" xr:uid="{00000000-0002-0000-0500-000000000000}">
      <formula1>$G$2:$G$15</formula1>
    </dataValidation>
  </dataValidations>
  <hyperlinks>
    <hyperlink ref="K47" location="填写首页!A1" display="点击返回首页" xr:uid="{00000000-0004-0000-0500-000000000000}"/>
  </hyperlinks>
  <pageMargins left="0.44" right="0.15748031496063" top="0.33" bottom="0.31496062992126" header="0.2" footer="0.196850393700787"/>
  <pageSetup paperSize="9" scale="9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项目预算表-项目决算表</vt:lpstr>
      <vt:lpstr>预算-用款申请表  </vt:lpstr>
      <vt:lpstr>填写首页</vt:lpstr>
      <vt:lpstr>人员补助表</vt:lpstr>
      <vt:lpstr>结算-项目收支明细表</vt:lpstr>
      <vt:lpstr>项目清算表</vt:lpstr>
      <vt:lpstr>'结算-项目收支明细表'!Print_Area</vt:lpstr>
      <vt:lpstr>'预算-用款申请表  '!Print_Area</vt:lpstr>
      <vt:lpstr>'结算-项目收支明细表'!Print_Titles</vt:lpstr>
    </vt:vector>
  </TitlesOfParts>
  <Company>MC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SYSTEM</dc:creator>
  <cp:lastModifiedBy>wangjincan130326@gmail.com</cp:lastModifiedBy>
  <cp:lastPrinted>2016-04-26T23:44:00Z</cp:lastPrinted>
  <dcterms:created xsi:type="dcterms:W3CDTF">2007-10-30T17:44:00Z</dcterms:created>
  <dcterms:modified xsi:type="dcterms:W3CDTF">2026-08-15T09:22:04Z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70EA700896F6495BA92FA673520C7512_13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